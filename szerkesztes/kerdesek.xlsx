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Útmutató" sheetId="1" state="visible" r:id="rId1"/>
    <sheet xmlns:r="http://schemas.openxmlformats.org/officeDocument/2006/relationships" name="Történetek" sheetId="2" state="visible" r:id="rId2"/>
    <sheet xmlns:r="http://schemas.openxmlformats.org/officeDocument/2006/relationships" name="Politikai" sheetId="3" state="visible" r:id="rId3"/>
    <sheet xmlns:r="http://schemas.openxmlformats.org/officeDocument/2006/relationships" name="Vállalati" sheetId="4" state="visible" r:id="rId4"/>
    <sheet xmlns:r="http://schemas.openxmlformats.org/officeDocument/2006/relationships" name="Katonai" sheetId="5" state="visible" r:id="rId5"/>
  </sheets>
  <definedNames>
    <definedName name="_xlnm._FilterDatabase" localSheetId="2" hidden="1">'Politikai'!$A$1:$N$41</definedName>
    <definedName name="_xlnm.Print_Titles" localSheetId="2">'Politikai'!$1:$1</definedName>
    <definedName name="_xlnm._FilterDatabase" localSheetId="3" hidden="1">'Vállalati'!$A$1:$N$41</definedName>
    <definedName name="_xlnm.Print_Titles" localSheetId="3">'Vállalati'!$1:$1</definedName>
    <definedName name="_xlnm._FilterDatabase" localSheetId="4" hidden="1">'Katonai'!$A$1:$N$41</definedName>
    <definedName name="_xlnm.Print_Titles" localSheetId="4">'Katonai'!$1:$1</definedName>
  </definedNames>
  <calcPr calcId="124519" fullCalcOnLoad="1"/>
</workbook>
</file>

<file path=xl/styles.xml><?xml version="1.0" encoding="utf-8"?>
<styleSheet xmlns="http://schemas.openxmlformats.org/spreadsheetml/2006/main">
  <numFmts count="1">
    <numFmt numFmtId="164" formatCode="+0.0;&quot;−&quot;0.0;0"/>
  </numFmts>
  <fonts count="7">
    <font>
      <name val="Calibri"/>
      <family val="2"/>
      <color theme="1"/>
      <sz val="11"/>
      <scheme val="minor"/>
    </font>
    <font>
      <name val="Arial"/>
      <b val="1"/>
      <color rgb="0013291F"/>
      <sz val="16"/>
    </font>
    <font>
      <name val="Arial"/>
      <color rgb="005A5A5A"/>
      <sz val="10"/>
    </font>
    <font>
      <name val="Arial"/>
      <b val="1"/>
      <color rgb="00B8933F"/>
      <sz val="11"/>
    </font>
    <font>
      <name val="Arial"/>
      <b val="1"/>
      <sz val="10"/>
    </font>
    <font>
      <name val="Arial"/>
      <sz val="10"/>
    </font>
    <font>
      <name val="Arial"/>
      <b val="1"/>
      <color rgb="00FFFFFF"/>
      <sz val="10"/>
    </font>
  </fonts>
  <fills count="5">
    <fill>
      <patternFill/>
    </fill>
    <fill>
      <patternFill patternType="gray125"/>
    </fill>
    <fill>
      <patternFill patternType="solid">
        <fgColor rgb="0013291F"/>
      </patternFill>
    </fill>
    <fill>
      <patternFill patternType="solid">
        <fgColor rgb="00EDEAE3"/>
      </patternFill>
    </fill>
    <fill>
      <patternFill patternType="solid">
        <fgColor rgb="00FFFFFF"/>
      </patternFill>
    </fill>
  </fills>
  <borders count="3">
    <border>
      <left/>
      <right/>
      <top/>
      <bottom/>
      <diagonal/>
    </border>
    <border>
      <left style="thin">
        <color rgb="00C9C2B3"/>
      </left>
      <right style="thin">
        <color rgb="00C9C2B3"/>
      </right>
      <top style="thin">
        <color rgb="00C9C2B3"/>
      </top>
      <bottom style="thin">
        <color rgb="00C9C2B3"/>
      </bottom>
    </border>
    <border>
      <left style="thin">
        <color rgb="00C9C2B3"/>
      </left>
      <right style="thin">
        <color rgb="00C9C2B3"/>
      </right>
      <top style="medium">
        <color rgb="0013291F"/>
      </top>
      <bottom style="thin">
        <color rgb="00C9C2B3"/>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4" fillId="3" borderId="1" applyAlignment="1" pivotButton="0" quotePrefix="0" xfId="0">
      <alignment vertical="top" wrapText="1"/>
    </xf>
    <xf numFmtId="0" fontId="5" fillId="4" borderId="1" applyAlignment="1" pivotButton="0" quotePrefix="0" xfId="0">
      <alignment vertical="top" wrapText="1"/>
    </xf>
    <xf numFmtId="0" fontId="4" fillId="3" borderId="2" applyAlignment="1" pivotButton="0" quotePrefix="0" xfId="0">
      <alignment horizontal="center" vertical="center" wrapText="1"/>
    </xf>
    <xf numFmtId="0" fontId="4" fillId="4" borderId="2" applyAlignment="1" pivotButton="0" quotePrefix="0" xfId="0">
      <alignment horizontal="left" vertical="top" wrapText="1"/>
    </xf>
    <xf numFmtId="0" fontId="5" fillId="4" borderId="2" applyAlignment="1" pivotButton="0" quotePrefix="0" xfId="0">
      <alignment horizontal="left" vertical="top" wrapText="1"/>
    </xf>
    <xf numFmtId="0" fontId="5" fillId="4" borderId="2" applyAlignment="1" pivotButton="0" quotePrefix="0" xfId="0">
      <alignment horizontal="center" vertical="center" wrapText="1"/>
    </xf>
    <xf numFmtId="164" fontId="5" fillId="3" borderId="2" applyAlignment="1" pivotButton="0" quotePrefix="0" xfId="0">
      <alignment horizontal="center" vertical="center" wrapText="1"/>
    </xf>
    <xf numFmtId="0" fontId="5" fillId="3" borderId="2" applyAlignment="1" pivotButton="0" quotePrefix="0" xfId="0">
      <alignment horizontal="center" vertical="center" wrapText="1"/>
    </xf>
    <xf numFmtId="0" fontId="4" fillId="3" borderId="1" applyAlignment="1" pivotButton="0" quotePrefix="0" xfId="0">
      <alignment horizontal="center" vertical="center" wrapText="1"/>
    </xf>
    <xf numFmtId="0" fontId="4" fillId="4" borderId="1" applyAlignment="1" pivotButton="0" quotePrefix="0" xfId="0">
      <alignment horizontal="left" vertical="top" wrapText="1"/>
    </xf>
    <xf numFmtId="0" fontId="5" fillId="4" borderId="1" applyAlignment="1" pivotButton="0" quotePrefix="0" xfId="0">
      <alignment horizontal="left" vertical="top" wrapText="1"/>
    </xf>
    <xf numFmtId="0" fontId="5" fillId="4" borderId="1" applyAlignment="1" pivotButton="0" quotePrefix="0" xfId="0">
      <alignment horizontal="center" vertical="center" wrapText="1"/>
    </xf>
    <xf numFmtId="164" fontId="5" fillId="3"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2">
    <dxf>
      <font>
        <name val="Arial"/>
        <b val="1"/>
        <color rgb="001E6B3A"/>
      </font>
      <fill>
        <patternFill patternType="solid">
          <fgColor rgb="00E3F1E6"/>
        </patternFill>
      </fill>
    </dxf>
    <dxf>
      <font>
        <name val="Arial"/>
        <b val="1"/>
        <color rgb="009B2C2C"/>
      </font>
      <fill>
        <patternFill patternType="solid">
          <fgColor rgb="00F8E3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Vezetői Bizalom — kérdésadatbázis</t>
        </is>
      </c>
    </row>
    <row r="3">
      <c r="B3" s="2" t="inlineStr">
        <is>
          <t>Ebben a fájlban a játék mindhárom története szerkeszthető. Ha kész, küldd vissza, és visszatöltöm a játékba.</t>
        </is>
      </c>
    </row>
    <row r="5">
      <c r="B5" s="3" t="inlineStr">
        <is>
          <t>Mit hol találsz</t>
        </is>
      </c>
    </row>
    <row r="6" ht="18" customHeight="1">
      <c r="B6" s="4" t="inlineStr">
        <is>
          <t>Történetek</t>
        </is>
      </c>
      <c r="C6" s="5" t="inlineStr">
        <is>
          <t>A három pálya neve és a történet rövid összefoglalója, amely a szerepválasztó kártyán jelenik meg.</t>
        </is>
      </c>
    </row>
    <row r="7" ht="18" customHeight="1">
      <c r="B7" s="4" t="inlineStr">
        <is>
          <t>Politikai / Vállalati / Katonai</t>
        </is>
      </c>
      <c r="C7" s="5" t="inlineStr">
        <is>
          <t>Pályánként 10 helyzet, mindegyikhez 4 válasz — egy sor egy válasz.</t>
        </is>
      </c>
    </row>
    <row r="9">
      <c r="B9" s="3" t="inlineStr">
        <is>
          <t>Mit szabad átírni</t>
        </is>
      </c>
    </row>
    <row r="10" ht="18" customHeight="1">
      <c r="B10" s="4" t="inlineStr">
        <is>
          <t>Fehér cellák</t>
        </is>
      </c>
      <c r="C10" s="5" t="inlineStr">
        <is>
          <t>Szabadon átírhatók: jelenet címe, helyzetleírás, válasz, fogalom, kiértékelés és az öt pontszám.</t>
        </is>
      </c>
    </row>
    <row r="11" ht="33" customHeight="1">
      <c r="B11" s="4" t="inlineStr">
        <is>
          <t>Szürke cellák</t>
        </is>
      </c>
      <c r="C11" s="5" t="inlineStr">
        <is>
          <t>Azonosítók és számított oszlopok (Sz., Jel, Súlyozott hatás, Ellenőrzés). Ezeket ne írd át — a visszatöltés ezek alapján párosít.</t>
        </is>
      </c>
    </row>
    <row r="12" ht="33" customHeight="1">
      <c r="B12" s="4" t="inlineStr">
        <is>
          <t>Sorrend</t>
        </is>
      </c>
      <c r="C12" s="5" t="inlineStr">
        <is>
          <t>Sort ne szúrj be és ne törölj: minden helyzetnek pontosan 4 válasza van (A–D). A válaszok sorrendje a játékban úgyis véletlenszerű.</t>
        </is>
      </c>
    </row>
    <row r="14">
      <c r="B14" s="3" t="inlineStr">
        <is>
          <t>A pontok</t>
        </is>
      </c>
    </row>
    <row r="15" ht="33" customHeight="1">
      <c r="B15" s="4" t="inlineStr">
        <is>
          <t>Tartomány</t>
        </is>
      </c>
      <c r="C15" s="5" t="inlineStr">
        <is>
          <t>Egész szám −3 és +3 között, mind az öt oszlopban (0 = nem érinti). A játék háromszorozza: +2 a Bizalomindex adott dimenziójában +6 pontot jelent.</t>
        </is>
      </c>
    </row>
    <row r="16" ht="33" customHeight="1">
      <c r="B16" s="4" t="inlineStr">
        <is>
          <t>Szabály</t>
        </is>
      </c>
      <c r="C16" s="5" t="inlineStr">
        <is>
          <t>Minden válasznak legyen legalább egy pozitív és legalább egy negatív pontja: nincs ingyen jó döntés. Az „Ellenőrzés” oszlop jelez, ha ez sérül.</t>
        </is>
      </c>
    </row>
    <row r="17" ht="33" customHeight="1">
      <c r="B17" s="4" t="inlineStr">
        <is>
          <t>Súlyozott hatás</t>
        </is>
      </c>
      <c r="C17" s="5" t="inlineStr">
        <is>
          <t>Mennyit mozdít a válasz a Bizalomindexen (0,22·Köv + 0,22·Átl + 0,20·Dönt + 0,18·Fel + 0,18·Bev, háromszorozva). Segít látni, melyik válasz a „legdrágább”.</t>
        </is>
      </c>
    </row>
    <row r="18" ht="18" customHeight="1">
      <c r="B18" s="4" t="inlineStr">
        <is>
          <t>Mi alapján?</t>
        </is>
      </c>
      <c r="C18" s="5" t="inlineStr">
        <is>
          <t>A pontozás szempontjait a külön kiküldött „Pontozási szempontok” dokumentum írja le, dimenziónként.</t>
        </is>
      </c>
    </row>
    <row r="20">
      <c r="B20" s="3" t="inlineStr">
        <is>
          <t>Nyelvi szabály</t>
        </is>
      </c>
    </row>
    <row r="21" ht="18" customHeight="1">
      <c r="B21" s="4" t="inlineStr">
        <is>
          <t>Helyzet és válasz</t>
        </is>
      </c>
      <c r="C21" s="5" t="inlineStr">
        <is>
          <t>Hétköznapi nyelv, szakszó nélkül — a játékosnak nem kell ismernie a tananyagot.</t>
        </is>
      </c>
    </row>
    <row r="22" ht="33" customHeight="1">
      <c r="B22" s="4" t="inlineStr">
        <is>
          <t>Kiértékelés</t>
        </is>
      </c>
      <c r="C22" s="5" t="inlineStr">
        <is>
          <t>Itt kell megnevezni a jegyzet fogalmát (PrOACT, korlátozott racionalitás, Mintzberg szerepei, halo-hatás stb.), egy-két érthető mondatban.</t>
        </is>
      </c>
    </row>
    <row r="24">
      <c r="B24" s="3" t="inlineStr">
        <is>
          <t>Minta: egy kitöltött sor</t>
        </is>
      </c>
    </row>
    <row r="25" ht="33" customHeight="1">
      <c r="B25" s="4" t="inlineStr">
        <is>
          <t>Válasz</t>
        </is>
      </c>
      <c r="C25" s="5" t="inlineStr">
        <is>
          <t>Kérsz két hetet, mielőtt bármiről szavaznátok. Ez alatt leírjátok, mit akartok pontosan elérni — spórolást, jobb iskolákat vagy mindkettőt —, és mit semmiképp nem szeretnétek feláldozni.</t>
        </is>
      </c>
    </row>
    <row r="26" ht="18" customHeight="1">
      <c r="B26" s="4" t="inlineStr">
        <is>
          <t>Fogalom</t>
        </is>
      </c>
      <c r="C26" s="5" t="inlineStr">
        <is>
          <t>PrOACT-modell</t>
        </is>
      </c>
    </row>
    <row r="27" ht="48" customHeight="1">
      <c r="B27" s="4" t="inlineStr">
        <is>
          <t>Kiértékelés</t>
        </is>
      </c>
      <c r="C27" s="5" t="inlineStr">
        <is>
          <t>Ez a PrOACT-modell első két lépése: a probléma pontos megfogalmazása és a célok teljes listájának összeírása, mielőtt bármilyen megoldást mérlegelnénk. A táblázat a megoldást már készen hozta, te viszont visszaléptél a kérdéshez: mit akarunk valójában? Ennek ára a két hét csúszás és egy türelmetlen frakcióvezető.</t>
        </is>
      </c>
    </row>
    <row r="28" ht="33" customHeight="1">
      <c r="B28" s="4" t="inlineStr">
        <is>
          <t>Pontok</t>
        </is>
      </c>
      <c r="C28" s="5" t="inlineStr">
        <is>
          <t>Következetesség −1 · Átláthatóság +2 · Döntési minőség +3 · Felelősségvállalás +1 · Érintettek bevonása +1</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100" customWidth="1" min="3" max="3"/>
  </cols>
  <sheetData>
    <row r="1" ht="22" customHeight="1">
      <c r="A1" s="6" t="inlineStr">
        <is>
          <t>Pálya</t>
        </is>
      </c>
      <c r="B1" s="6" t="inlineStr">
        <is>
          <t>Szerep (kártya címe)</t>
        </is>
      </c>
      <c r="C1" s="6" t="inlineStr">
        <is>
          <t>A történet összefoglalója</t>
        </is>
      </c>
    </row>
    <row r="2" ht="51" customHeight="1">
      <c r="A2" s="7" t="inlineStr">
        <is>
          <t>Politikai</t>
        </is>
      </c>
      <c r="B2" s="8" t="inlineStr">
        <is>
          <t>Politikai vezető</t>
        </is>
      </c>
      <c r="C2" s="8" t="inlineStr">
        <is>
          <t>Egy parlamenti bizottság elnöke vagy. A kormány takarékossági csomagja negyven kis falusi iskola bezárását javasolja: a gyerekeket busszal vinnék a közeli városokba. Tíz hét alatt kell végigvinned a javaslatot a bizottságon és a parlamenten, miközben a falvak, a pedagógusok, a pártod és a sajtó is figyel.</t>
        </is>
      </c>
    </row>
    <row r="3" ht="51" customHeight="1">
      <c r="A3" s="7" t="inlineStr">
        <is>
          <t>Vállalati</t>
        </is>
      </c>
      <c r="B3" s="8" t="inlineStr">
        <is>
          <t>Vállalati vezető</t>
        </is>
      </c>
      <c r="C3" s="8" t="inlineStr">
        <is>
          <t>A Meridian Kft. ügyfélszolgálati igazgatója vagy. A cég legnagyobb ügyfele, egy országos patikalánc, három hónapot adott: ha addig nem javul a kiszolgálás, felmondja a szerződést, amely a bevétel negyedét hozza. A csapatod fáradt, az osztályok egymást hibáztatják, a vezérigazgató pedig eredményt vár.</t>
        </is>
      </c>
    </row>
    <row r="4" ht="51" customHeight="1">
      <c r="A4" s="7" t="inlineStr">
        <is>
          <t>Katonai</t>
        </is>
      </c>
      <c r="B4" s="8" t="inlineStr">
        <is>
          <t>Katonai vezető</t>
        </is>
      </c>
      <c r="C4" s="8" t="inlineStr">
        <is>
          <t>A 3. műszaki ezred parancsnoka vagy. Rekordmagas árhullám közeledik a Tiszán, és az ezredet egy háromezres folyóparti város, Tiszaszög és a környező tanyák védelmére vezénylik. Tizenkét nap áll rendelkezésre: az állomány fáradt, a gépek kevesek, a helyiek félnek, és minden döntésed emberek otthonáról szól.</t>
        </is>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6" customWidth="1" min="3" max="3"/>
    <col width="5" customWidth="1" min="4" max="4"/>
    <col width="44" customWidth="1" min="5" max="5"/>
    <col width="22" customWidth="1" min="6" max="6"/>
    <col width="58" customWidth="1" min="7" max="7"/>
    <col width="11" customWidth="1" min="8" max="8"/>
    <col width="11" customWidth="1" min="9" max="9"/>
    <col width="11" customWidth="1" min="10" max="10"/>
    <col width="11" customWidth="1" min="11" max="11"/>
    <col width="11" customWidth="1" min="12" max="12"/>
    <col width="13" customWidth="1" min="13" max="13"/>
    <col width="18" customWidth="1" min="14" max="14"/>
  </cols>
  <sheetData>
    <row r="1" ht="44" customHeight="1">
      <c r="A1" s="6" t="inlineStr">
        <is>
          <t>Sz.</t>
        </is>
      </c>
      <c r="B1" s="6" t="inlineStr">
        <is>
          <t>Jelenet címe</t>
        </is>
      </c>
      <c r="C1" s="6" t="inlineStr">
        <is>
          <t>Helyzet (a játékos ezt olvassa)</t>
        </is>
      </c>
      <c r="D1" s="6" t="inlineStr">
        <is>
          <t>Jel</t>
        </is>
      </c>
      <c r="E1" s="6" t="inlineStr">
        <is>
          <t>Válasz (a játékos ezt olvassa)</t>
        </is>
      </c>
      <c r="F1" s="6" t="inlineStr">
        <is>
          <t>Fogalom (a jegyzetből)</t>
        </is>
      </c>
      <c r="G1" s="6" t="inlineStr">
        <is>
          <t>Kiértékelés (a válasz után jelenik meg)</t>
        </is>
      </c>
      <c r="H1" s="6" t="inlineStr">
        <is>
          <t>Következetesség</t>
        </is>
      </c>
      <c r="I1" s="6" t="inlineStr">
        <is>
          <t>Átláthatóság</t>
        </is>
      </c>
      <c r="J1" s="6" t="inlineStr">
        <is>
          <t>Döntési minőség</t>
        </is>
      </c>
      <c r="K1" s="6" t="inlineStr">
        <is>
          <t>Felelősségvállalás</t>
        </is>
      </c>
      <c r="L1" s="6" t="inlineStr">
        <is>
          <t>Érintettek bevonása</t>
        </is>
      </c>
      <c r="M1" s="6" t="inlineStr">
        <is>
          <t>Súlyozott hatás a Bizalomindexre</t>
        </is>
      </c>
      <c r="N1" s="6" t="inlineStr">
        <is>
          <t>Ellenőrzés</t>
        </is>
      </c>
    </row>
    <row r="2" ht="90" customHeight="1">
      <c r="A2" s="9" t="n">
        <v>1</v>
      </c>
      <c r="B2" s="10" t="inlineStr">
        <is>
          <t>A táblázat</t>
        </is>
      </c>
      <c r="C2" s="11" t="inlineStr">
        <is>
          <t>Hétfő reggel megérkezik a minisztérium anyaga: egyetlen táblázat. Negyven iskola neve, a tanulók száma, és mellette, mennyit spórol az állam, ha bezárják őket. A bizottság három tagja már az első percben összevész rajta, a pártod frakcióvezetője pedig üzen: jó lenne egy hónap alatt letudni. Mielőtt bárki szavazna, neked kell eldöntened, hogyan kezditek.</t>
        </is>
      </c>
      <c r="D2" s="9" t="inlineStr">
        <is>
          <t>A</t>
        </is>
      </c>
      <c r="E2" s="11" t="inlineStr">
        <is>
          <t>Még aznap nyilatkozol: amíg te vagy a bizottság elnöke, egyetlen falu sem veszíti el az iskoláját. A falvak hálásak, a sajtó felkapja, és a tárgyalásokon erős pozícióból indulsz.</t>
        </is>
      </c>
      <c r="F2" s="11" t="inlineStr">
        <is>
          <t>Snowden–Boone: egyszerű és komplex helyzet</t>
        </is>
      </c>
      <c r="G2" s="11" t="inlineStr">
        <is>
          <t>Snowden és Boone szerint egyszerű helyzetben létezik egy helyes válasz, amelyet elég kimondani; komplex helyzetben viszont nincs ilyen, az okok és a következmények csak menet közben rajzolódnak ki. Az ígérettel egyszerűnek kezelted az ügyet. Most erős vagy, de ha a számok később mást mutatnak, a saját szavad lesz a legnagyobb ellenfeled.</t>
        </is>
      </c>
      <c r="H2" s="12" t="n">
        <v>-2</v>
      </c>
      <c r="I2" s="12" t="n">
        <v>2</v>
      </c>
      <c r="J2" s="12" t="n">
        <v>-2</v>
      </c>
      <c r="K2" s="12" t="n">
        <v>1</v>
      </c>
      <c r="L2" s="12" t="n">
        <v>1</v>
      </c>
      <c r="M2" s="13">
        <f>ROUND(3*(0.22*H2+0.22*I2+0.2*J2+0.18*K2+0.18*L2),1)</f>
        <v/>
      </c>
      <c r="N2" s="14">
        <f>IF(COUNT(H2:L2)&lt;5,"hiányzó pont",IF(OR(MIN(H2:L2)&lt;-3,MAX(H2:L2)&gt;3),"−3…+3 közé",IF(COUNTIF(H2:L2,"&gt;0")=0,"kell pozitív is",IF(COUNTIF(H2:L2,"&lt;0")=0,"kell negatív is","rendben"))))</f>
        <v/>
      </c>
    </row>
    <row r="3" ht="90" customHeight="1">
      <c r="A3" s="15" t="n"/>
      <c r="B3" s="16" t="n"/>
      <c r="C3" s="17" t="n"/>
      <c r="D3" s="15" t="inlineStr">
        <is>
          <t>B</t>
        </is>
      </c>
      <c r="E3" s="17" t="inlineStr">
        <is>
          <t>A táblázatot fogadod el kiindulópontnak, és a bizottság csak azt vitatja meg, melyik iskola kerüljön le a listáról. Így gyorsan haladtok, és a pártod is elégedett.</t>
        </is>
      </c>
      <c r="F3" s="17" t="inlineStr">
        <is>
          <t>Jól és rosszul strukturált döntés</t>
        </is>
      </c>
      <c r="G3" s="17" t="inlineStr">
        <is>
          <t>Simon megkülönböztetése szerint a jól strukturált döntésnél csak az a kérdés, hogyan oldjuk meg, a rosszul strukturáltnál viszont még az sem világos, mi a probléma. Az iskolabezárás tipikusan rosszul strukturált: nem egyértelmű, hogy költség-, oktatási vagy közösségi kérdés. Ha jól strukturáltként kezeled, gyors leszel, de a valódi vitát csak elhalasztod.</t>
        </is>
      </c>
      <c r="H3" s="18" t="n">
        <v>2</v>
      </c>
      <c r="I3" s="18" t="n">
        <v>-1</v>
      </c>
      <c r="J3" s="18" t="n">
        <v>-2</v>
      </c>
      <c r="K3" s="18" t="n">
        <v>0</v>
      </c>
      <c r="L3" s="18" t="n">
        <v>-1</v>
      </c>
      <c r="M3" s="19">
        <f>ROUND(3*(0.22*H3+0.22*I3+0.2*J3+0.18*K3+0.18*L3),1)</f>
        <v/>
      </c>
      <c r="N3" s="20">
        <f>IF(COUNT(H3:L3)&lt;5,"hiányzó pont",IF(OR(MIN(H3:L3)&lt;-3,MAX(H3:L3)&gt;3),"−3…+3 közé",IF(COUNTIF(H3:L3,"&gt;0")=0,"kell pozitív is",IF(COUNTIF(H3:L3,"&lt;0")=0,"kell negatív is","rendben"))))</f>
        <v/>
      </c>
    </row>
    <row r="4" ht="76" customHeight="1">
      <c r="A4" s="15" t="n"/>
      <c r="B4" s="16" t="n"/>
      <c r="C4" s="17" t="n"/>
      <c r="D4" s="15" t="inlineStr">
        <is>
          <t>C</t>
        </is>
      </c>
      <c r="E4" s="17" t="inlineStr">
        <is>
          <t>Kérsz két hetet, mielőtt bármiről szavaznátok. Ez alatt leírjátok, mit akartok pontosan elérni — spórolást, jobb iskolákat vagy mindkettőt —, és mit semmiképp nem szeretnétek feláldozni.</t>
        </is>
      </c>
      <c r="F4" s="17" t="inlineStr">
        <is>
          <t>PrOACT-modell</t>
        </is>
      </c>
      <c r="G4" s="17" t="inlineStr">
        <is>
          <t>Ez a PrOACT-modell első két lépése: a probléma pontos megfogalmazása és a célok teljes listájának összeírása, mielőtt bármilyen megoldást mérlegelnénk. A táblázat a megoldást már készen hozta, te viszont visszaléptél a kérdéshez: mit akarunk valójában? Ennek ára a két hét csúszás és egy türelmetlen frakcióvezető.</t>
        </is>
      </c>
      <c r="H4" s="18" t="n">
        <v>-1</v>
      </c>
      <c r="I4" s="18" t="n">
        <v>2</v>
      </c>
      <c r="J4" s="18" t="n">
        <v>3</v>
      </c>
      <c r="K4" s="18" t="n">
        <v>1</v>
      </c>
      <c r="L4" s="18" t="n">
        <v>1</v>
      </c>
      <c r="M4" s="19">
        <f>ROUND(3*(0.22*H4+0.22*I4+0.2*J4+0.18*K4+0.18*L4),1)</f>
        <v/>
      </c>
      <c r="N4" s="20">
        <f>IF(COUNT(H4:L4)&lt;5,"hiányzó pont",IF(OR(MIN(H4:L4)&lt;-3,MAX(H4:L4)&gt;3),"−3…+3 közé",IF(COUNTIF(H4:L4,"&gt;0")=0,"kell pozitív is",IF(COUNTIF(H4:L4,"&lt;0")=0,"kell negatív is","rendben"))))</f>
        <v/>
      </c>
    </row>
    <row r="5" ht="76" customHeight="1">
      <c r="A5" s="15" t="n"/>
      <c r="B5" s="16" t="n"/>
      <c r="C5" s="17" t="n"/>
      <c r="D5" s="15" t="inlineStr">
        <is>
          <t>D</t>
        </is>
      </c>
      <c r="E5" s="17" t="inlineStr">
        <is>
          <t>Mielőtt bármit mondanál a bizottságban, egy hét alatt végiglátogatsz öt érintett falut, hogy a saját szemeddel lásd, miről szól a táblázat.</t>
        </is>
      </c>
      <c r="F5" s="17" t="inlineStr">
        <is>
          <t>Mintzberg információgyűjtő szerepe</t>
        </is>
      </c>
      <c r="G5" s="17" t="inlineStr">
        <is>
          <t>Mintzberg tíz vezetői szerepe közül ez az információgyűjtő: a vezető maga megy el oda, ahol első kézből tudhat meg valamit. A terepen olyat látsz, amit a táblázat nem mutat. Az ára, hogy közben a bizottság nélküled kezd vitatkozni, és a tagjaid kimaradnak abból, amit te megtapasztalsz.</t>
        </is>
      </c>
      <c r="H5" s="18" t="n">
        <v>-1</v>
      </c>
      <c r="I5" s="18" t="n">
        <v>-1</v>
      </c>
      <c r="J5" s="18" t="n">
        <v>2</v>
      </c>
      <c r="K5" s="18" t="n">
        <v>2</v>
      </c>
      <c r="L5" s="18" t="n">
        <v>1</v>
      </c>
      <c r="M5" s="19">
        <f>ROUND(3*(0.22*H5+0.22*I5+0.2*J5+0.18*K5+0.18*L5),1)</f>
        <v/>
      </c>
      <c r="N5" s="20">
        <f>IF(COUNT(H5:L5)&lt;5,"hiányzó pont",IF(OR(MIN(H5:L5)&lt;-3,MAX(H5:L5)&gt;3),"−3…+3 közé",IF(COUNTIF(H5:L5,"&gt;0")=0,"kell pozitív is",IF(COUNTIF(H5:L5,"&lt;0")=0,"kell negatív is","rendben"))))</f>
        <v/>
      </c>
    </row>
    <row r="6" ht="76" customHeight="1">
      <c r="A6" s="9" t="n">
        <v>2</v>
      </c>
      <c r="B6" s="10" t="inlineStr">
        <is>
          <t>A falugyűlés</t>
        </is>
      </c>
      <c r="C6" s="11" t="inlineStr">
        <is>
          <t>A táblázat kiszivárgott. Szombaton Bükkfalván, a listán szereplő egyik faluban háromszáz ember gyűlik össze a kultúrházban, és téged is meghívnak. A szervező előre szól: a szülők dühösek, és arra akarnak választ, megmarad-e az iskolájuk. A kamerák is ott lesznek.</t>
        </is>
      </c>
      <c r="D6" s="9" t="inlineStr">
        <is>
          <t>A</t>
        </is>
      </c>
      <c r="E6" s="11" t="inlineStr">
        <is>
          <t>Elmész, és megígéred, hogy Bükkfalva iskolája marad. A terem tapsol, a hír estére mindenhol ott van.</t>
        </is>
      </c>
      <c r="F6" s="11" t="inlineStr">
        <is>
          <t>Diszkontálás</t>
        </is>
      </c>
      <c r="G6" s="11" t="inlineStr">
        <is>
          <t>A diszkontálás az a hajlamunk, hogy a közeli, most jelen lévő dolgokat felértékeljük, a távolabbiakat pedig leértékeljük. A dühös terem itt és most van, a harminckilenc másik falu és a költségvetés viszont távolinak tűnik. Az ígéret ma békét hoz, holnap viszont mindenki ugyanezt fogja kérni tőled.</t>
        </is>
      </c>
      <c r="H6" s="12" t="n">
        <v>-3</v>
      </c>
      <c r="I6" s="12" t="n">
        <v>1</v>
      </c>
      <c r="J6" s="12" t="n">
        <v>-2</v>
      </c>
      <c r="K6" s="12" t="n">
        <v>1</v>
      </c>
      <c r="L6" s="12" t="n">
        <v>2</v>
      </c>
      <c r="M6" s="13">
        <f>ROUND(3*(0.22*H6+0.22*I6+0.2*J6+0.18*K6+0.18*L6),1)</f>
        <v/>
      </c>
      <c r="N6" s="14">
        <f>IF(COUNT(H6:L6)&lt;5,"hiányzó pont",IF(OR(MIN(H6:L6)&lt;-3,MAX(H6:L6)&gt;3),"−3…+3 közé",IF(COUNTIF(H6:L6,"&gt;0")=0,"kell pozitív is",IF(COUNTIF(H6:L6,"&lt;0")=0,"kell negatív is","rendben"))))</f>
        <v/>
      </c>
    </row>
    <row r="7" ht="90" customHeight="1">
      <c r="A7" s="15" t="n"/>
      <c r="B7" s="16" t="n"/>
      <c r="C7" s="17" t="n"/>
      <c r="D7" s="15" t="inlineStr">
        <is>
          <t>B</t>
        </is>
      </c>
      <c r="E7" s="17" t="inlineStr">
        <is>
          <t>Elmész, és felajánlod, hogy a falu két hónap alatt dolgozzon ki saját javaslatot, amit a bizottság ugyanúgy megvizsgál, mint a minisztériumét. Ez lassítja a menetrendet, és a pártod nem fog örülni.</t>
        </is>
      </c>
      <c r="F7" s="17" t="inlineStr">
        <is>
          <t>Részvételi létra</t>
        </is>
      </c>
      <c r="G7" s="17" t="inlineStr">
        <is>
          <t>A részvételi létra azt mutatja, mennyire valódi az érintettek bevonása: a puszta tájékoztatástól egészen addig, amikor a döntés egy részét ténylegesen rájuk bízzuk. Te a létra felső fokára léptél, a falu nemcsak véleményt mondhat, hanem saját javaslattal is beszállhat. Az ár a két hónap csúszás és egy frakció, amely úgy érzi, kiengedted a kezedből az ügyet.</t>
        </is>
      </c>
      <c r="H7" s="18" t="n">
        <v>-1</v>
      </c>
      <c r="I7" s="18" t="n">
        <v>2</v>
      </c>
      <c r="J7" s="18" t="n">
        <v>1</v>
      </c>
      <c r="K7" s="18" t="n">
        <v>1</v>
      </c>
      <c r="L7" s="18" t="n">
        <v>3</v>
      </c>
      <c r="M7" s="19">
        <f>ROUND(3*(0.22*H7+0.22*I7+0.2*J7+0.18*K7+0.18*L7),1)</f>
        <v/>
      </c>
      <c r="N7" s="20">
        <f>IF(COUNT(H7:L7)&lt;5,"hiányzó pont",IF(OR(MIN(H7:L7)&lt;-3,MAX(H7:L7)&gt;3),"−3…+3 közé",IF(COUNTIF(H7:L7,"&gt;0")=0,"kell pozitív is",IF(COUNTIF(H7:L7,"&lt;0")=0,"kell negatív is","rendben"))))</f>
        <v/>
      </c>
    </row>
    <row r="8" ht="76" customHeight="1">
      <c r="A8" s="15" t="n"/>
      <c r="B8" s="16" t="n"/>
      <c r="C8" s="17" t="n"/>
      <c r="D8" s="15" t="inlineStr">
        <is>
          <t>C</t>
        </is>
      </c>
      <c r="E8" s="17" t="inlineStr">
        <is>
          <t>Nem mész el személyesen: a minisztérium egyik szakértőjét küldöd, aki számokkal elmagyarázza, miért szükséges az átszervezés. Így nem te leszel a dühös emberek célpontja, és a számokat is pontosabban mondja el.</t>
        </is>
      </c>
      <c r="F8" s="17" t="inlineStr">
        <is>
          <t>Mintzberg képviselő szerepe</t>
        </is>
      </c>
      <c r="G8" s="17" t="inlineStr">
        <is>
          <t>Mintzberg szerint a vezetőnek képviselő szerepe is van: a jelenléte önmagában üzenet, hiszen a tisztsége szimbolikus súlyú. A szakértő pontosabban beszél a számokról, a teremben mégis az marad meg, hogy te nem jöttél el. A távolmaradás megóv egy kellemetlen estétől, és elveszi az esélyt, hogy személyesen építs bizalmat.</t>
        </is>
      </c>
      <c r="H8" s="18" t="n">
        <v>1</v>
      </c>
      <c r="I8" s="18" t="n">
        <v>1</v>
      </c>
      <c r="J8" s="18" t="n">
        <v>1</v>
      </c>
      <c r="K8" s="18" t="n">
        <v>-3</v>
      </c>
      <c r="L8" s="18" t="n">
        <v>-2</v>
      </c>
      <c r="M8" s="19">
        <f>ROUND(3*(0.22*H8+0.22*I8+0.2*J8+0.18*K8+0.18*L8),1)</f>
        <v/>
      </c>
      <c r="N8" s="20">
        <f>IF(COUNT(H8:L8)&lt;5,"hiányzó pont",IF(OR(MIN(H8:L8)&lt;-3,MAX(H8:L8)&gt;3),"−3…+3 közé",IF(COUNTIF(H8:L8,"&gt;0")=0,"kell pozitív is",IF(COUNTIF(H8:L8,"&lt;0")=0,"kell negatív is","rendben"))))</f>
        <v/>
      </c>
    </row>
    <row r="9" ht="76" customHeight="1">
      <c r="A9" s="15" t="n"/>
      <c r="B9" s="16" t="n"/>
      <c r="C9" s="17" t="n"/>
      <c r="D9" s="15" t="inlineStr">
        <is>
          <t>D</t>
        </is>
      </c>
      <c r="E9" s="17" t="inlineStr">
        <is>
          <t>Elmész, végighallgatod őket, és elmondod, hogy még semmi sincs eldöntve — de ígéretet nem teszel. Tudod, hogy ezzel valószínűleg senki nem lesz elégedett.</t>
        </is>
      </c>
      <c r="F9" s="17" t="inlineStr">
        <is>
          <t>Mintzberg kapcsolattartó szerepe</t>
        </is>
      </c>
      <c r="G9" s="17" t="inlineStr">
        <is>
          <t>Mintzberg kapcsolattartó szerepében a vezető kapcsolatokat épít a szervezeten kívüliekkel, és közben információt is gyűjt. Ha meghallgatod őket, de nem ígérsz, megőrzöd a mozgásteredet és a hitelességedet. A teremből viszont sokan úgy mennek haza, hogy kiálltál eléjük, és nem mondtál semmit.</t>
        </is>
      </c>
      <c r="H9" s="18" t="n">
        <v>1</v>
      </c>
      <c r="I9" s="18" t="n">
        <v>-1</v>
      </c>
      <c r="J9" s="18" t="n">
        <v>1</v>
      </c>
      <c r="K9" s="18" t="n">
        <v>1</v>
      </c>
      <c r="L9" s="18" t="n">
        <v>2</v>
      </c>
      <c r="M9" s="19">
        <f>ROUND(3*(0.22*H9+0.22*I9+0.2*J9+0.18*K9+0.18*L9),1)</f>
        <v/>
      </c>
      <c r="N9" s="20">
        <f>IF(COUNT(H9:L9)&lt;5,"hiányzó pont",IF(OR(MIN(H9:L9)&lt;-3,MAX(H9:L9)&gt;3),"−3…+3 közé",IF(COUNTIF(H9:L9,"&gt;0")=0,"kell pozitív is",IF(COUNTIF(H9:L9,"&lt;0")=0,"kell negatív is","rendben"))))</f>
        <v/>
      </c>
    </row>
    <row r="10" ht="76" customHeight="1">
      <c r="A10" s="9" t="n">
        <v>3</v>
      </c>
      <c r="B10" s="10" t="inlineStr">
        <is>
          <t>Az ajánlat</t>
        </is>
      </c>
      <c r="C10" s="11" t="inlineStr">
        <is>
          <t>A parlament folyosóján megszólít egy ismert buszos cég vezetője. A cég országszerte pontos, megbízható járatairól híres. Az ajánlata: öt évig ingyen szállítják a gyerekeket a bezárt falvakból, ha a bizottság úgy írja meg a törvényt, hogy a szállítást pályázat nélkül ők kaphassák meg. A szülők legnagyobb félelme éppen az utazás.</t>
        </is>
      </c>
      <c r="D10" s="9" t="inlineStr">
        <is>
          <t>A</t>
        </is>
      </c>
      <c r="E10" s="11" t="inlineStr">
        <is>
          <t>Megköszönöd, de közlöd, hogy a szállításra nyílt pályázat lesz, akkor is, ha drágább és lassabb. Tudod, hogy így a buszok hónapokkal később indulnak, és addig a szülők aggodalma is megmarad.</t>
        </is>
      </c>
      <c r="F10" s="11" t="inlineStr">
        <is>
          <t>Moralitás detektor: napfény teszt</t>
        </is>
      </c>
      <c r="G10" s="11" t="inlineStr">
        <is>
          <t>A napfény teszt egyetlen kérdés: jól érezném magam, ha ez a döntés minden részletével együtt holnap nyilvánosságra kerülne? Egy pályázat nélküli, ingyenesnek látszó üzlet nehezen állná ki ezt a próbát. A nyílt pályázat tisztább, de a gyerekek addig bizonytalanságban maradnak, és a megtakarítás is kisebb.</t>
        </is>
      </c>
      <c r="H10" s="12" t="n">
        <v>2</v>
      </c>
      <c r="I10" s="12" t="n">
        <v>2</v>
      </c>
      <c r="J10" s="12" t="n">
        <v>0</v>
      </c>
      <c r="K10" s="12" t="n">
        <v>1</v>
      </c>
      <c r="L10" s="12" t="n">
        <v>-1</v>
      </c>
      <c r="M10" s="13">
        <f>ROUND(3*(0.22*H10+0.22*I10+0.2*J10+0.18*K10+0.18*L10),1)</f>
        <v/>
      </c>
      <c r="N10" s="14">
        <f>IF(COUNT(H10:L10)&lt;5,"hiányzó pont",IF(OR(MIN(H10:L10)&lt;-3,MAX(H10:L10)&gt;3),"−3…+3 közé",IF(COUNTIF(H10:L10,"&gt;0")=0,"kell pozitív is",IF(COUNTIF(H10:L10,"&lt;0")=0,"kell negatív is","rendben"))))</f>
        <v/>
      </c>
    </row>
    <row r="11" ht="90" customHeight="1">
      <c r="A11" s="15" t="n"/>
      <c r="B11" s="16" t="n"/>
      <c r="C11" s="17" t="n"/>
      <c r="D11" s="15" t="inlineStr">
        <is>
          <t>B</t>
        </is>
      </c>
      <c r="E11" s="17" t="inlineStr">
        <is>
          <t>Elfogadod: a gyerekek biztonságos, ingyenes buszt kapnak, az állam spórol, a szülők megnyugszanak. Úgy gondolod, egy ilyen jó ügyért belefér, hogy most kivételesen nem lesz pályázat.</t>
        </is>
      </c>
      <c r="F11" s="17" t="inlineStr">
        <is>
          <t>Gátló racionalizálás: „jó célt szolgál”</t>
        </is>
      </c>
      <c r="G11" s="17" t="inlineStr">
        <is>
          <t>A jegyzet gátló racionalizálásnak nevezi azokat az érveket, amelyekkel egy kétes döntést magunk előtt elfogadhatóvá teszünk. A „jó célt szolgál” az egyik leggyakoribb: az eredmény valóban értékes, de a hozzá vezető út — egy cégnek tett szívesség pályázat nélkül — etikai csapdát rejt. Rövid távon mindenki jól jár, amíg ki nem derül, mi volt az ára.</t>
        </is>
      </c>
      <c r="H11" s="18" t="n">
        <v>-1</v>
      </c>
      <c r="I11" s="18" t="n">
        <v>-3</v>
      </c>
      <c r="J11" s="18" t="n">
        <v>1</v>
      </c>
      <c r="K11" s="18" t="n">
        <v>-2</v>
      </c>
      <c r="L11" s="18" t="n">
        <v>2</v>
      </c>
      <c r="M11" s="19">
        <f>ROUND(3*(0.22*H11+0.22*I11+0.2*J11+0.18*K11+0.18*L11),1)</f>
        <v/>
      </c>
      <c r="N11" s="20">
        <f>IF(COUNT(H11:L11)&lt;5,"hiányzó pont",IF(OR(MIN(H11:L11)&lt;-3,MAX(H11:L11)&gt;3),"−3…+3 közé",IF(COUNTIF(H11:L11,"&gt;0")=0,"kell pozitív is",IF(COUNTIF(H11:L11,"&lt;0")=0,"kell negatív is","rendben"))))</f>
        <v/>
      </c>
    </row>
    <row r="12" ht="76" customHeight="1">
      <c r="A12" s="15" t="n"/>
      <c r="B12" s="16" t="n"/>
      <c r="C12" s="17" t="n"/>
      <c r="D12" s="15" t="inlineStr">
        <is>
          <t>C</t>
        </is>
      </c>
      <c r="E12" s="17" t="inlineStr">
        <is>
          <t>Nem döntesz egyedül: a következő bizottsági ülésen nyilvánosan ismerteted az ajánlatot, és közösen döntötök róla. Lehet, hogy a cég ezután visszalép, mert nem szereti a nyilvánosságot.</t>
        </is>
      </c>
      <c r="F12" s="17" t="inlineStr">
        <is>
          <t>Mintzberg információelosztó szerepe</t>
        </is>
      </c>
      <c r="G12" s="17" t="inlineStr">
        <is>
          <t>Mintzberg információelosztó szerepében a vezető továbbadja a hozzá befutó információt azoknak, akiknek szükségük van rá. Ezzel az ajánlat a bizottság közös ügye lett, nem egy folyosói beszélgetésé. A nyitottság ára, hogy egy jó ajánlat is elveszhet, és a döntés felelősségét megosztod másokkal.</t>
        </is>
      </c>
      <c r="H12" s="18" t="n">
        <v>1</v>
      </c>
      <c r="I12" s="18" t="n">
        <v>3</v>
      </c>
      <c r="J12" s="18" t="n">
        <v>0</v>
      </c>
      <c r="K12" s="18" t="n">
        <v>-1</v>
      </c>
      <c r="L12" s="18" t="n">
        <v>1</v>
      </c>
      <c r="M12" s="19">
        <f>ROUND(3*(0.22*H12+0.22*I12+0.2*J12+0.18*K12+0.18*L12),1)</f>
        <v/>
      </c>
      <c r="N12" s="20">
        <f>IF(COUNT(H12:L12)&lt;5,"hiányzó pont",IF(OR(MIN(H12:L12)&lt;-3,MAX(H12:L12)&gt;3),"−3…+3 közé",IF(COUNTIF(H12:L12,"&gt;0")=0,"kell pozitív is",IF(COUNTIF(H12:L12,"&lt;0")=0,"kell negatív is","rendben"))))</f>
        <v/>
      </c>
    </row>
    <row r="13" ht="90" customHeight="1">
      <c r="A13" s="15" t="n"/>
      <c r="B13" s="16" t="n"/>
      <c r="C13" s="17" t="n"/>
      <c r="D13" s="15" t="inlineStr">
        <is>
          <t>D</t>
        </is>
      </c>
      <c r="E13" s="17" t="inlineStr">
        <is>
          <t>Egy ennyire megbízható cég ajánlatában nem látsz nagy kockázatot. Négyszemközt azt kéred, tegyenek még jobb ajánlatot, és addig nem szólsz róla senkinek.</t>
        </is>
      </c>
      <c r="F13" s="17" t="inlineStr">
        <is>
          <t>Halo-effektus</t>
        </is>
      </c>
      <c r="G13" s="17" t="inlineStr">
        <is>
          <t>A halo-effektus azt jelenti, hogy egyetlen kiemelkedő tulajdonság alapján alkotunk általános véleményt valakiről. A cég pontos buszjáratai miatt az ajánlatát is megbízhatónak láttad, pedig a kettő nem ugyanaz: a járatok minősége semmit sem mond arról, tisztességes-e egy pályázat nélküli üzlet. A titkos alku jobb feltételeket hozhat, de ha kiderül, az egész bizottságot magával rántja.</t>
        </is>
      </c>
      <c r="H13" s="18" t="n">
        <v>1</v>
      </c>
      <c r="I13" s="18" t="n">
        <v>-3</v>
      </c>
      <c r="J13" s="18" t="n">
        <v>-1</v>
      </c>
      <c r="K13" s="18" t="n">
        <v>-1</v>
      </c>
      <c r="L13" s="18" t="n">
        <v>0</v>
      </c>
      <c r="M13" s="19">
        <f>ROUND(3*(0.22*H13+0.22*I13+0.2*J13+0.18*K13+0.18*L13),1)</f>
        <v/>
      </c>
      <c r="N13" s="20">
        <f>IF(COUNT(H13:L13)&lt;5,"hiányzó pont",IF(OR(MIN(H13:L13)&lt;-3,MAX(H13:L13)&gt;3),"−3…+3 közé",IF(COUNTIF(H13:L13,"&gt;0")=0,"kell pozitív is",IF(COUNTIF(H13:L13,"&lt;0")=0,"kell negatív is","rendben"))))</f>
        <v/>
      </c>
    </row>
    <row r="14" ht="76" customHeight="1">
      <c r="A14" s="9" t="n">
        <v>4</v>
      </c>
      <c r="B14" s="10" t="inlineStr">
        <is>
          <t>A személyes támadás</t>
        </is>
      </c>
      <c r="C14" s="11" t="inlineStr">
        <is>
          <t>A bizottsági vitán felszólal Kardos Ilona, az ellenzék képviselője, aki húsz évig tanított egy falusi iskolában. Hangosan és személyeskedve támad: szerinte azért akarsz iskolákat bezárni, mert soha nem éltél vidéken. A pártodbeli helyetted odasúgja: ne foglalkozz vele, csak a kameráknak játszik. Az egész terem rád néz.</t>
        </is>
      </c>
      <c r="D14" s="9" t="inlineStr">
        <is>
          <t>A</t>
        </is>
      </c>
      <c r="E14" s="11" t="inlineStr">
        <is>
          <t>Szünetet rendelsz el, és négyszemközt próbálsz megegyezni Kardos Ilonával: ha az ő két iskolájának ügyét külön megvizsgáljátok, a nyilvános vitában visszafogja magát.</t>
        </is>
      </c>
      <c r="F14" s="11" t="inlineStr">
        <is>
          <t>Mintzberg tárgyaló szerepe</t>
        </is>
      </c>
      <c r="G14" s="11" t="inlineStr">
        <is>
          <t>Mintzberg tárgyaló szerepében a vezető egyezkedéssel szerez támogatást vagy nyugalmat. A négyszemközti megállapodás lecsillapíthatja a vitát, és a két iskola ügye is előrébb juthat. A nyilvánosság viszont kimarad belőle: a bizottság többi tagja és a sajtó csak annyit lát, hogy a vita hirtelen elcsendesedett.</t>
        </is>
      </c>
      <c r="H14" s="12" t="n">
        <v>0</v>
      </c>
      <c r="I14" s="12" t="n">
        <v>-2</v>
      </c>
      <c r="J14" s="12" t="n">
        <v>1</v>
      </c>
      <c r="K14" s="12" t="n">
        <v>1</v>
      </c>
      <c r="L14" s="12" t="n">
        <v>1</v>
      </c>
      <c r="M14" s="13">
        <f>ROUND(3*(0.22*H14+0.22*I14+0.2*J14+0.18*K14+0.18*L14),1)</f>
        <v/>
      </c>
      <c r="N14" s="14">
        <f>IF(COUNT(H14:L14)&lt;5,"hiányzó pont",IF(OR(MIN(H14:L14)&lt;-3,MAX(H14:L14)&gt;3),"−3…+3 közé",IF(COUNTIF(H14:L14,"&gt;0")=0,"kell pozitív is",IF(COUNTIF(H14:L14,"&lt;0")=0,"kell negatív is","rendben"))))</f>
        <v/>
      </c>
    </row>
    <row r="15" ht="90" customHeight="1">
      <c r="A15" s="15" t="n"/>
      <c r="B15" s="16" t="n"/>
      <c r="C15" s="17" t="n"/>
      <c r="D15" s="15" t="inlineStr">
        <is>
          <t>B</t>
        </is>
      </c>
      <c r="E15" s="17" t="inlineStr">
        <is>
          <t>Egyetértesz a helyetteseddel: az ellenzék csak a kameráknak beszél. Röviden közlöd, hogy a bizottság nem személyes sérelmekről, hanem számokról vitázik, és továbblépsz.</t>
        </is>
      </c>
      <c r="F15" s="17" t="inlineStr">
        <is>
          <t>Alapvető attribúciós hiba</t>
        </is>
      </c>
      <c r="G15" s="17" t="inlineStr">
        <is>
          <t>Az alapvető attribúciós hiba az a hajlamunk, hogy mások viselkedését a jellemükkel vagy a szándékukkal magyarázzuk, a helyzet hatását pedig alábecsüljük. Ha Kardos Ilona felszólalását puszta politikai játéknak látod, kimarad, hogy húsz évnyi falusi tapasztalatból beszél. A vita rendezett marad, a mögötte álló valódi aggály viszont válasz nélkül.</t>
        </is>
      </c>
      <c r="H15" s="18" t="n">
        <v>2</v>
      </c>
      <c r="I15" s="18" t="n">
        <v>-1</v>
      </c>
      <c r="J15" s="18" t="n">
        <v>-2</v>
      </c>
      <c r="K15" s="18" t="n">
        <v>0</v>
      </c>
      <c r="L15" s="18" t="n">
        <v>-2</v>
      </c>
      <c r="M15" s="19">
        <f>ROUND(3*(0.22*H15+0.22*I15+0.2*J15+0.18*K15+0.18*L15),1)</f>
        <v/>
      </c>
      <c r="N15" s="20">
        <f>IF(COUNT(H15:L15)&lt;5,"hiányzó pont",IF(OR(MIN(H15:L15)&lt;-3,MAX(H15:L15)&gt;3),"−3…+3 közé",IF(COUNTIF(H15:L15,"&gt;0")=0,"kell pozitív is",IF(COUNTIF(H15:L15,"&lt;0")=0,"kell negatív is","rendben"))))</f>
        <v/>
      </c>
    </row>
    <row r="16" ht="90" customHeight="1">
      <c r="A16" s="15" t="n"/>
      <c r="B16" s="16" t="n"/>
      <c r="C16" s="17" t="n"/>
      <c r="D16" s="15" t="inlineStr">
        <is>
          <t>C</t>
        </is>
      </c>
      <c r="E16" s="17" t="inlineStr">
        <is>
          <t>Nyugodtan megkéred, nevezzen meg két iskolát, ahol szerinte hibásak a számok, és felajánlod, hogy azokat jövő héten közösen újraszámoljátok. Ezzel teret adsz neki, és a vita is elhúzódik.</t>
        </is>
      </c>
      <c r="F16" s="17" t="inlineStr">
        <is>
          <t>Pártfogó és vizsgálódó magatartás</t>
        </is>
      </c>
      <c r="G16" s="17" t="inlineStr">
        <is>
          <t>A jegyzet kétféle vitamagatartást állít szembe: a pártfogó a saját álláspontját védi és a másikét próbálja elhallgattatni, a vizsgálódó pedig közösen teszteli az érveket. Te az utóbbit választottad: a támadás mögötti tapasztalatot vizsgálható kérdéssé alakítottad. A vita tartalmasabb lesz, de időt visz el, és a párttársaid gyengeségnek láthatják.</t>
        </is>
      </c>
      <c r="H16" s="18" t="n">
        <v>-1</v>
      </c>
      <c r="I16" s="18" t="n">
        <v>2</v>
      </c>
      <c r="J16" s="18" t="n">
        <v>2</v>
      </c>
      <c r="K16" s="18" t="n">
        <v>1</v>
      </c>
      <c r="L16" s="18" t="n">
        <v>2</v>
      </c>
      <c r="M16" s="19">
        <f>ROUND(3*(0.22*H16+0.22*I16+0.2*J16+0.18*K16+0.18*L16),1)</f>
        <v/>
      </c>
      <c r="N16" s="20">
        <f>IF(COUNT(H16:L16)&lt;5,"hiányzó pont",IF(OR(MIN(H16:L16)&lt;-3,MAX(H16:L16)&gt;3),"−3…+3 közé",IF(COUNTIF(H16:L16,"&gt;0")=0,"kell pozitív is",IF(COUNTIF(H16:L16,"&lt;0")=0,"kell negatív is","rendben"))))</f>
        <v/>
      </c>
    </row>
    <row r="17" ht="90" customHeight="1">
      <c r="A17" s="15" t="n"/>
      <c r="B17" s="16" t="n"/>
      <c r="C17" s="17" t="n"/>
      <c r="D17" s="15" t="inlineStr">
        <is>
          <t>D</t>
        </is>
      </c>
      <c r="E17" s="17" t="inlineStr">
        <is>
          <t>A menetrend a legfontosabb: lezárod a vitát, és a következő napirendi pontra lépsz, hogy a bizottság még ebben a hónapban szavazhasson.</t>
        </is>
      </c>
      <c r="F17" s="17" t="inlineStr">
        <is>
          <t>Autokratikus döntés</t>
        </is>
      </c>
      <c r="G17" s="17" t="inlineStr">
        <is>
          <t>A jegyzet csoportos döntési modelljei közül az autokratikus döntésnél a vezető egyedül dönt, a tagok minimális közreműködésével. Gyors, és időhiányban indokolt lehet, de ha a tagok nem értenek egyet, a végrehajtás melletti elkötelezettségük nagyon alacsony lesz. A bizottság időben szavazhat, csak éppen kevesebbet tud arról, amiről szavaz.</t>
        </is>
      </c>
      <c r="H17" s="18" t="n">
        <v>2</v>
      </c>
      <c r="I17" s="18" t="n">
        <v>-2</v>
      </c>
      <c r="J17" s="18" t="n">
        <v>-2</v>
      </c>
      <c r="K17" s="18" t="n">
        <v>-1</v>
      </c>
      <c r="L17" s="18" t="n">
        <v>-2</v>
      </c>
      <c r="M17" s="19">
        <f>ROUND(3*(0.22*H17+0.22*I17+0.2*J17+0.18*K17+0.18*L17),1)</f>
        <v/>
      </c>
      <c r="N17" s="20">
        <f>IF(COUNT(H17:L17)&lt;5,"hiányzó pont",IF(OR(MIN(H17:L17)&lt;-3,MAX(H17:L17)&gt;3),"−3…+3 közé",IF(COUNTIF(H17:L17,"&gt;0")=0,"kell pozitív is",IF(COUNTIF(H17:L17,"&lt;0")=0,"kell negatív is","rendben"))))</f>
        <v/>
      </c>
    </row>
    <row r="18" ht="76" customHeight="1">
      <c r="A18" s="9" t="n">
        <v>5</v>
      </c>
      <c r="B18" s="10" t="inlineStr">
        <is>
          <t>Három változat</t>
        </is>
      </c>
      <c r="C18" s="11" t="inlineStr">
        <is>
          <t>A bizottság asztalán három változat fekszik. Az első mind a negyven iskolát bezárja: ez a legnagyobb megtakarítás és a leghosszabb utazás. A második húszat zár be, a többiben összevont osztályok lesznek. A harmadik minden iskolát megtart, de a pénzt máshonnan kell elvenni, valószínűleg az egészségügyből. A frakció a héten döntést vár.</t>
        </is>
      </c>
      <c r="D18" s="9" t="inlineStr">
        <is>
          <t>A</t>
        </is>
      </c>
      <c r="E18" s="11" t="inlineStr">
        <is>
          <t>Nem akarsz a pártod ellen menni: a frakcióülésre bízod, melyik változatot támogassa a bizottság, te pedig levezeted a szavazást.</t>
        </is>
      </c>
      <c r="F18" s="11" t="inlineStr">
        <is>
          <t>A döntés elhárítása</t>
        </is>
      </c>
      <c r="G18" s="11" t="inlineStr">
        <is>
          <t>A jegyzet a döntéshozói magatartások között említi a döntés elhárítását: amikor a vezető a döntést másra hárítja, és a formális megoldást részesíti előnyben. Ez megóv a párton belüli konfliktustól, és a frakció is elégedett. Csakhogy a bizottság elnökeként épp azt a felelősséget adod ki a kezedből, amiért ott ülsz.</t>
        </is>
      </c>
      <c r="H18" s="12" t="n">
        <v>2</v>
      </c>
      <c r="I18" s="12" t="n">
        <v>0</v>
      </c>
      <c r="J18" s="12" t="n">
        <v>-1</v>
      </c>
      <c r="K18" s="12" t="n">
        <v>-3</v>
      </c>
      <c r="L18" s="12" t="n">
        <v>1</v>
      </c>
      <c r="M18" s="13">
        <f>ROUND(3*(0.22*H18+0.22*I18+0.2*J18+0.18*K18+0.18*L18),1)</f>
        <v/>
      </c>
      <c r="N18" s="14">
        <f>IF(COUNT(H18:L18)&lt;5,"hiányzó pont",IF(OR(MIN(H18:L18)&lt;-3,MAX(H18:L18)&gt;3),"−3…+3 közé",IF(COUNTIF(H18:L18,"&gt;0")=0,"kell pozitív is",IF(COUNTIF(H18:L18,"&lt;0")=0,"kell negatív is","rendben"))))</f>
        <v/>
      </c>
    </row>
    <row r="19" ht="90" customHeight="1">
      <c r="A19" s="15" t="n"/>
      <c r="B19" s="16" t="n"/>
      <c r="C19" s="17" t="n"/>
      <c r="D19" s="15" t="inlineStr">
        <is>
          <t>B</t>
        </is>
      </c>
      <c r="E19" s="17" t="inlineStr">
        <is>
          <t>A költségvetési célt teszed az első helyre: a pénzügyminisztérium ezt a számot várja, és ha a bizottság nem teljesíti, máshonnan fogják elvenni. Az első változatot támogatod.</t>
        </is>
      </c>
      <c r="F19" s="17" t="inlineStr">
        <is>
          <t>Korlátozott racionalitás, kielégítő döntés</t>
        </is>
      </c>
      <c r="G19" s="17" t="inlineStr">
        <is>
          <t>Simon szerint a valódi döntéshozók korlátozott racionalitással döntenek: nem mérlegelnek minden szempontot, hanem az első olyan megoldást választják, amely eléri az elvárt szintet. Itt az elvárt szint a megtakarítási cél volt, és az első változat ezt teljesíti. A döntés gyors és védhető, a többi szempont — utazás, közösség — viszont kiesett a számításból.</t>
        </is>
      </c>
      <c r="H19" s="18" t="n">
        <v>2</v>
      </c>
      <c r="I19" s="18" t="n">
        <v>1</v>
      </c>
      <c r="J19" s="18" t="n">
        <v>-2</v>
      </c>
      <c r="K19" s="18" t="n">
        <v>1</v>
      </c>
      <c r="L19" s="18" t="n">
        <v>-3</v>
      </c>
      <c r="M19" s="19">
        <f>ROUND(3*(0.22*H19+0.22*I19+0.2*J19+0.18*K19+0.18*L19),1)</f>
        <v/>
      </c>
      <c r="N19" s="20">
        <f>IF(COUNT(H19:L19)&lt;5,"hiányzó pont",IF(OR(MIN(H19:L19)&lt;-3,MAX(H19:L19)&gt;3),"−3…+3 közé",IF(COUNTIF(H19:L19,"&gt;0")=0,"kell pozitív is",IF(COUNTIF(H19:L19,"&lt;0")=0,"kell negatív is","rendben"))))</f>
        <v/>
      </c>
    </row>
    <row r="20" ht="76" customHeight="1">
      <c r="A20" s="15" t="n"/>
      <c r="B20" s="16" t="n"/>
      <c r="C20" s="17" t="n"/>
      <c r="D20" s="15" t="inlineStr">
        <is>
          <t>C</t>
        </is>
      </c>
      <c r="E20" s="17" t="inlineStr">
        <is>
          <t>Mindhárom változatnál leírod, mit nyer és mit veszít egy konkrét bükkfalvi család: hány órát utazik a gyerek, mi lesz a helyi tanítóval, mi lesz a faluval. Ezt teszed a vita középpontjába, még ha ettől érzelmesebb is lesz.</t>
        </is>
      </c>
      <c r="F20" s="17" t="inlineStr">
        <is>
          <t>PrOACT: következmények és átváltások</t>
        </is>
      </c>
      <c r="G20" s="17" t="inlineStr">
        <is>
          <t>A PrOACT-modell utolsó két lépése a következmények feltérképezése minden változatnál, és annak nyílt mérlegelése, mit adunk fel és mit kapunk érte. Egy konkrét család napjain keresztül ez a mérlegelés kézzelfoghatóvá válik. A vita emberibb lesz, de nehezebben számszerűsíthető, és a számokat váró frakciót kevésbé győzi meg.</t>
        </is>
      </c>
      <c r="H20" s="18" t="n">
        <v>-1</v>
      </c>
      <c r="I20" s="18" t="n">
        <v>2</v>
      </c>
      <c r="J20" s="18" t="n">
        <v>1</v>
      </c>
      <c r="K20" s="18" t="n">
        <v>1</v>
      </c>
      <c r="L20" s="18" t="n">
        <v>2</v>
      </c>
      <c r="M20" s="19">
        <f>ROUND(3*(0.22*H20+0.22*I20+0.2*J20+0.18*K20+0.18*L20),1)</f>
        <v/>
      </c>
      <c r="N20" s="20">
        <f>IF(COUNT(H20:L20)&lt;5,"hiányzó pont",IF(OR(MIN(H20:L20)&lt;-3,MAX(H20:L20)&gt;3),"−3…+3 közé",IF(COUNTIF(H20:L20,"&gt;0")=0,"kell pozitív is",IF(COUNTIF(H20:L20,"&lt;0")=0,"kell negatív is","rendben"))))</f>
        <v/>
      </c>
    </row>
    <row r="21" ht="104" customHeight="1">
      <c r="A21" s="15" t="n"/>
      <c r="B21" s="16" t="n"/>
      <c r="C21" s="17" t="n"/>
      <c r="D21" s="15" t="inlineStr">
        <is>
          <t>D</t>
        </is>
      </c>
      <c r="E21" s="17" t="inlineStr">
        <is>
          <t>Egymás mellé teszed a három változatot a spórolás, az utazási idő, a tanítás minősége és a falvak megtartása szerint, és először azt nézed meg, van-e köztük olyan, amelyik minden szempontból rosszabb valamelyik másiknál. Ha van, azt kihúzzátok, és csak a maradékról vitáztok. Ez alapos, de legalább egy hét.</t>
        </is>
      </c>
      <c r="F21" s="17" t="inlineStr">
        <is>
          <t>Dominancia elve</t>
        </is>
      </c>
      <c r="G21" s="17" t="inlineStr">
        <is>
          <t>A dominancia elve szerint ha egy változat semmilyen szempontból nem jobb egy másiknál, és legalább egyben rosszabb, nyugodtan kihúzhatjuk, még mielőtt bonyolult mérlegelésbe kezdenénk. Ez lecsökkenti a vitát a valóban versengő változatokra. A módszer tisztázza a választást, de az értékkérdést — mennyit ér egy falu iskolája — nem dönti el helyetted, a frakció pedig közben tovább vár.</t>
        </is>
      </c>
      <c r="H21" s="18" t="n">
        <v>-1</v>
      </c>
      <c r="I21" s="18" t="n">
        <v>2</v>
      </c>
      <c r="J21" s="18" t="n">
        <v>3</v>
      </c>
      <c r="K21" s="18" t="n">
        <v>0</v>
      </c>
      <c r="L21" s="18" t="n">
        <v>1</v>
      </c>
      <c r="M21" s="19">
        <f>ROUND(3*(0.22*H21+0.22*I21+0.2*J21+0.18*K21+0.18*L21),1)</f>
        <v/>
      </c>
      <c r="N21" s="20">
        <f>IF(COUNT(H21:L21)&lt;5,"hiányzó pont",IF(OR(MIN(H21:L21)&lt;-3,MAX(H21:L21)&gt;3),"−3…+3 közé",IF(COUNTIF(H21:L21,"&gt;0")=0,"kell pozitív is",IF(COUNTIF(H21:L21,"&lt;0")=0,"kell negatív is","rendben"))))</f>
        <v/>
      </c>
    </row>
    <row r="22" ht="90" customHeight="1">
      <c r="A22" s="9" t="n">
        <v>6</v>
      </c>
      <c r="B22" s="10" t="inlineStr">
        <is>
          <t>A választás árnyékában</t>
        </is>
      </c>
      <c r="C22" s="11" t="inlineStr">
        <is>
          <t>Az egyik tanácsadód egy vidéki út szélén, a következő fórumra menet kimondja, amit mindenki gondol: a megtakarítás öt év múlva jelentkezne, a választás viszont jövő tavasszal lesz, és az érintett körzetek közül hat billeg. Ha most zártok be iskolákat, ott elveszíthetitek a választást. A frakció ezt is figyeli.</t>
        </is>
      </c>
      <c r="D22" s="9" t="inlineStr">
        <is>
          <t>A</t>
        </is>
      </c>
      <c r="E22" s="11" t="inlineStr">
        <is>
          <t>Vállalod a menetrendet a választás előtt is, és nyilvánosan elmondod, miért: a gyerekeknek most kell a jobb iskola, nem öt év múlva. Tudod, hogy ez a pártodnak mandátumokba kerülhet.</t>
        </is>
      </c>
      <c r="F22" s="11" t="inlineStr">
        <is>
          <t>Stratégiai és operatív döntés</t>
        </is>
      </c>
      <c r="G22" s="11" t="inlineStr">
        <is>
          <t>A jegyzet szerint a stratégiai döntés alapvető változást indít el, és hosszú távra meghatározza a működés kereteit, míg az operatív döntés a napi működést segíti. Ha egy stratégiai döntés ütemét a választási naptár diktálja, rövid távú taktikává silányul. Te vállaltad a hosszú távot, és ki is mondtad; az ár a saját pártod bizalma és néhány körzet.</t>
        </is>
      </c>
      <c r="H22" s="12" t="n">
        <v>3</v>
      </c>
      <c r="I22" s="12" t="n">
        <v>2</v>
      </c>
      <c r="J22" s="12" t="n">
        <v>1</v>
      </c>
      <c r="K22" s="12" t="n">
        <v>2</v>
      </c>
      <c r="L22" s="12" t="n">
        <v>-2</v>
      </c>
      <c r="M22" s="13">
        <f>ROUND(3*(0.22*H22+0.22*I22+0.2*J22+0.18*K22+0.18*L22),1)</f>
        <v/>
      </c>
      <c r="N22" s="14">
        <f>IF(COUNT(H22:L22)&lt;5,"hiányzó pont",IF(OR(MIN(H22:L22)&lt;-3,MAX(H22:L22)&gt;3),"−3…+3 közé",IF(COUNTIF(H22:L22,"&gt;0")=0,"kell pozitív is",IF(COUNTIF(H22:L22,"&lt;0")=0,"kell negatív is","rendben"))))</f>
        <v/>
      </c>
    </row>
    <row r="23" ht="76" customHeight="1">
      <c r="A23" s="15" t="n"/>
      <c r="B23" s="16" t="n"/>
      <c r="C23" s="17" t="n"/>
      <c r="D23" s="15" t="inlineStr">
        <is>
          <t>B</t>
        </is>
      </c>
      <c r="E23" s="17" t="inlineStr">
        <is>
          <t>Kettéosztod: ahol a szülők maguk is az összevonást kérik, ott most indul, máshol két év múlva, a tapasztalatok alapján. Ez lassú és kicsit igazságtalan, de tanulhattok belőle.</t>
        </is>
      </c>
      <c r="F23" s="17" t="inlineStr">
        <is>
          <t>Inkrementalizmus (átevickélés)</t>
        </is>
      </c>
      <c r="G23" s="17" t="inlineStr">
        <is>
          <t>Az inkrementalizmus a nagy, átfogó megoldások helyett kis, fokozatos lépéseket jelent, amelyekből menet közben tanulni lehet. Az önként jelentkező falvakkal kezdesz, és a tapasztalat alapján döntesz a többiről. Ez csökkenti a kockázatot, de két falu ugyanabban a helyzetben másként járhat, ami igazságtalannak tűnhet.</t>
        </is>
      </c>
      <c r="H23" s="18" t="n">
        <v>-2</v>
      </c>
      <c r="I23" s="18" t="n">
        <v>1</v>
      </c>
      <c r="J23" s="18" t="n">
        <v>2</v>
      </c>
      <c r="K23" s="18" t="n">
        <v>1</v>
      </c>
      <c r="L23" s="18" t="n">
        <v>2</v>
      </c>
      <c r="M23" s="19">
        <f>ROUND(3*(0.22*H23+0.22*I23+0.2*J23+0.18*K23+0.18*L23),1)</f>
        <v/>
      </c>
      <c r="N23" s="20">
        <f>IF(COUNT(H23:L23)&lt;5,"hiányzó pont",IF(OR(MIN(H23:L23)&lt;-3,MAX(H23:L23)&gt;3),"−3…+3 közé",IF(COUNTIF(H23:L23,"&gt;0")=0,"kell pozitív is",IF(COUNTIF(H23:L23,"&lt;0")=0,"kell negatív is","rendben"))))</f>
        <v/>
      </c>
    </row>
    <row r="24" ht="90" customHeight="1">
      <c r="A24" s="15" t="n"/>
      <c r="B24" s="16" t="n"/>
      <c r="C24" s="17" t="n"/>
      <c r="D24" s="15" t="inlineStr">
        <is>
          <t>C</t>
        </is>
      </c>
      <c r="E24" s="17" t="inlineStr">
        <is>
          <t>Most megszavaztatod a törvényt, de a bezárások csak a választás után indulnak. Így a döntés megszületik, a fájdalmas rész pedig később jön.</t>
        </is>
      </c>
      <c r="F24" s="17" t="inlineStr">
        <is>
          <t>A döntés halogatása</t>
        </is>
      </c>
      <c r="G24" s="17" t="inlineStr">
        <is>
          <t>A jegyzet a döntéshozói magatartások között írja le a döntés halogatását: a problémákat sürgős és nem sürgős kategóriákba soroljuk, és kivárjuk, amíg a helyzet kikényszeríti a lépést. Formálisan döntöttél, a nehéz rész viszont a választás utánra csúszik. Ez politikailag okos, de a falvak két évig bizonytalanságban élnek, és sokan átlátnak a szitán.</t>
        </is>
      </c>
      <c r="H24" s="18" t="n">
        <v>1</v>
      </c>
      <c r="I24" s="18" t="n">
        <v>-2</v>
      </c>
      <c r="J24" s="18" t="n">
        <v>1</v>
      </c>
      <c r="K24" s="18" t="n">
        <v>-1</v>
      </c>
      <c r="L24" s="18" t="n">
        <v>0</v>
      </c>
      <c r="M24" s="19">
        <f>ROUND(3*(0.22*H24+0.22*I24+0.2*J24+0.18*K24+0.18*L24),1)</f>
        <v/>
      </c>
      <c r="N24" s="20">
        <f>IF(COUNT(H24:L24)&lt;5,"hiányzó pont",IF(OR(MIN(H24:L24)&lt;-3,MAX(H24:L24)&gt;3),"−3…+3 közé",IF(COUNTIF(H24:L24,"&gt;0")=0,"kell pozitív is",IF(COUNTIF(H24:L24,"&lt;0")=0,"kell negatív is","rendben"))))</f>
        <v/>
      </c>
    </row>
    <row r="25" ht="90" customHeight="1">
      <c r="A25" s="15" t="n"/>
      <c r="B25" s="16" t="n"/>
      <c r="C25" s="17" t="n"/>
      <c r="D25" s="15" t="inlineStr">
        <is>
          <t>D</t>
        </is>
      </c>
      <c r="E25" s="17" t="inlineStr">
        <is>
          <t>A polgármesterekre bízod: minden falu maga dönthet az iskolájáról, és ahol megtartják, ott a kormány fizeti a különbözetet. Így senki nem mondhatja, hogy fentről döntöttek helyette — de a megtakarítás jó része elvész.</t>
        </is>
      </c>
      <c r="F25" s="17" t="inlineStr">
        <is>
          <t>Mintzberg erőforrás-elosztó szerepe</t>
        </is>
      </c>
      <c r="G25" s="17" t="inlineStr">
        <is>
          <t>Mintzberg erőforrás-elosztó szerepében a vezető dönti el, hová kerül a pénz és a figyelem, és ezzel alapvetően befolyásolja mások lehetőségeit. Ezt a szerepet most kiadtad a kezedből a polgármestereknek. A döntés helyben elfogadottabb lesz, de a megtakarítási cél elveszhet, és a pénzügyminisztérium felé neked kell majd megmagyaráznod.</t>
        </is>
      </c>
      <c r="H25" s="18" t="n">
        <v>-1</v>
      </c>
      <c r="I25" s="18" t="n">
        <v>1</v>
      </c>
      <c r="J25" s="18" t="n">
        <v>-1</v>
      </c>
      <c r="K25" s="18" t="n">
        <v>-2</v>
      </c>
      <c r="L25" s="18" t="n">
        <v>3</v>
      </c>
      <c r="M25" s="19">
        <f>ROUND(3*(0.22*H25+0.22*I25+0.2*J25+0.18*K25+0.18*L25),1)</f>
        <v/>
      </c>
      <c r="N25" s="20">
        <f>IF(COUNT(H25:L25)&lt;5,"hiányzó pont",IF(OR(MIN(H25:L25)&lt;-3,MAX(H25:L25)&gt;3),"−3…+3 közé",IF(COUNTIF(H25:L25,"&gt;0")=0,"kell pozitív is",IF(COUNTIF(H25:L25,"&lt;0")=0,"kell negatív is","rendben"))))</f>
        <v/>
      </c>
    </row>
    <row r="26" ht="90" customHeight="1">
      <c r="A26" s="9" t="n">
        <v>7</v>
      </c>
      <c r="B26" s="10" t="inlineStr">
        <is>
          <t>Egyetlen szavazat</t>
        </is>
      </c>
      <c r="C26" s="11" t="inlineStr">
        <is>
          <t>A bizottsági szavazás előtti estén összeszámolod: egyetlen szavazattal van meg a többség. Ekkor felhív Szalai Péter, a saját párttársad. Nemmel szavaz, hacsak le nem veszed a listáról a szülőfaluja iskoláját. Az ő faluja pontosan olyan, mint további tizenkét település a listán — csak azoknak nincs képviselőjük a bizottságban.</t>
        </is>
      </c>
      <c r="D26" s="9" t="inlineStr">
        <is>
          <t>A</t>
        </is>
      </c>
      <c r="E26" s="11" t="inlineStr">
        <is>
          <t>Nem alkuszol: megmondod Szalainak, hogy a lista szempontjai mindenkire ugyanúgy vonatkoznak. Tudod, hogy ha nemmel szavaz, holnap elbukik a javaslat.</t>
        </is>
      </c>
      <c r="F26" s="11" t="inlineStr">
        <is>
          <t>Mintzberg vezető szerepe</t>
        </is>
      </c>
      <c r="G26" s="11" t="inlineStr">
        <is>
          <t>Mintzberg vezető szerepe a vezető és a csapata közötti viszonyról szól: arról, milyen mércét állít fel, és azt hogyan tartja meg. Azzal, hogy a saját párttársadnak sem teszel kivételt, világossá teszed, mi érvényes a bizottságban. Ez a következetesség tiszteletet hoz, de azzal a kockázattal jár, hogy hetek munkája egyetlen szavazaton bukik el.</t>
        </is>
      </c>
      <c r="H26" s="12" t="n">
        <v>3</v>
      </c>
      <c r="I26" s="12" t="n">
        <v>1</v>
      </c>
      <c r="J26" s="12" t="n">
        <v>-1</v>
      </c>
      <c r="K26" s="12" t="n">
        <v>2</v>
      </c>
      <c r="L26" s="12" t="n">
        <v>-1</v>
      </c>
      <c r="M26" s="13">
        <f>ROUND(3*(0.22*H26+0.22*I26+0.2*J26+0.18*K26+0.18*L26),1)</f>
        <v/>
      </c>
      <c r="N26" s="14">
        <f>IF(COUNT(H26:L26)&lt;5,"hiányzó pont",IF(OR(MIN(H26:L26)&lt;-3,MAX(H26:L26)&gt;3),"−3…+3 közé",IF(COUNTIF(H26:L26,"&gt;0")=0,"kell pozitív is",IF(COUNTIF(H26:L26,"&lt;0")=0,"kell negatív is","rendben"))))</f>
        <v/>
      </c>
    </row>
    <row r="27" ht="90" customHeight="1">
      <c r="A27" s="15" t="n"/>
      <c r="B27" s="16" t="n"/>
      <c r="C27" s="17" t="n"/>
      <c r="D27" s="15" t="inlineStr">
        <is>
          <t>B</t>
        </is>
      </c>
      <c r="E27" s="17" t="inlineStr">
        <is>
          <t>Leveszed Szalai faluját — de ugyanazon a szempont alapján a másik tizenkét hasonló falut is. A szavazás megvan, a megtakarítás viszont a harmadával csökken, és ezt a pénzügyminisztériumnak is meg kell magyaráznod.</t>
        </is>
      </c>
      <c r="F27" s="17" t="inlineStr">
        <is>
          <t>Programozott döntés</t>
        </is>
      </c>
      <c r="G27" s="17" t="inlineStr">
        <is>
          <t>Simon programozott döntésnek nevezi azt, amelyre előre rögzített szabály van, így minden hasonló esetben ugyanúgy születik meg. Te Szalai egyedi kérését szabállyá alakítottad, amely minden hasonló falura érvényes. Ez igazságos és védhető, de drága: kisebb a megtakarítás, és a minisztérium joggal kérdezi, miért változott a számítás az utolsó éjjel.</t>
        </is>
      </c>
      <c r="H27" s="18" t="n">
        <v>-1</v>
      </c>
      <c r="I27" s="18" t="n">
        <v>2</v>
      </c>
      <c r="J27" s="18" t="n">
        <v>1</v>
      </c>
      <c r="K27" s="18" t="n">
        <v>1</v>
      </c>
      <c r="L27" s="18" t="n">
        <v>2</v>
      </c>
      <c r="M27" s="19">
        <f>ROUND(3*(0.22*H27+0.22*I27+0.2*J27+0.18*K27+0.18*L27),1)</f>
        <v/>
      </c>
      <c r="N27" s="20">
        <f>IF(COUNT(H27:L27)&lt;5,"hiányzó pont",IF(OR(MIN(H27:L27)&lt;-3,MAX(H27:L27)&gt;3),"−3…+3 közé",IF(COUNTIF(H27:L27,"&gt;0")=0,"kell pozitív is",IF(COUNTIF(H27:L27,"&lt;0")=0,"kell negatív is","rendben"))))</f>
        <v/>
      </c>
    </row>
    <row r="28" ht="90" customHeight="1">
      <c r="A28" s="15" t="n"/>
      <c r="B28" s="16" t="n"/>
      <c r="C28" s="17" t="n"/>
      <c r="D28" s="15" t="inlineStr">
        <is>
          <t>C</t>
        </is>
      </c>
      <c r="E28" s="17" t="inlineStr">
        <is>
          <t>Elhalasztod a szavazást egy héttel, és addig mind a tizenhárom érintett falu polgármesterét meghallgatod, hogy lásd, kinek mennyi múlik a döntésen, és kinek mekkora a beleszólása.</t>
        </is>
      </c>
      <c r="F28" s="17" t="inlineStr">
        <is>
          <t>Érintett-térkép és érintetterőtér</t>
        </is>
      </c>
      <c r="G28" s="17" t="inlineStr">
        <is>
          <t>Az érintett-térkép felsorolja, kikre hat a döntés, az érintetterőtér pedig megmutatja, kinek mennyi múlik rajta és mekkora a befolyása. Szalai nagy befolyású érintett, a tizenkét másik falu viszont kiszolgáltatott helyzetben van: nagyon érinti őket a döntés, de alig van beleszólásuk. A meghallgatás kiegyensúlyozza a képet, de a csúszás a frakciót és a menetrendet is próbára teszi.</t>
        </is>
      </c>
      <c r="H28" s="18" t="n">
        <v>-2</v>
      </c>
      <c r="I28" s="18" t="n">
        <v>1</v>
      </c>
      <c r="J28" s="18" t="n">
        <v>2</v>
      </c>
      <c r="K28" s="18" t="n">
        <v>0</v>
      </c>
      <c r="L28" s="18" t="n">
        <v>3</v>
      </c>
      <c r="M28" s="19">
        <f>ROUND(3*(0.22*H28+0.22*I28+0.2*J28+0.18*K28+0.18*L28),1)</f>
        <v/>
      </c>
      <c r="N28" s="20">
        <f>IF(COUNT(H28:L28)&lt;5,"hiányzó pont",IF(OR(MIN(H28:L28)&lt;-3,MAX(H28:L28)&gt;3),"−3…+3 közé",IF(COUNTIF(H28:L28,"&gt;0")=0,"kell pozitív is",IF(COUNTIF(H28:L28,"&lt;0")=0,"kell negatív is","rendben"))))</f>
        <v/>
      </c>
    </row>
    <row r="29" ht="90" customHeight="1">
      <c r="A29" s="15" t="n"/>
      <c r="B29" s="16" t="n"/>
      <c r="C29" s="17" t="n"/>
      <c r="D29" s="15" t="inlineStr">
        <is>
          <t>D</t>
        </is>
      </c>
      <c r="E29" s="17" t="inlineStr">
        <is>
          <t>Leveszed a listáról Szalai falujának iskoláját. A szavazás így biztosan átmegy, és a törvény — ha egy iskolával kevesebbel is — megvalósul.</t>
        </is>
      </c>
      <c r="F29" s="17" t="inlineStr">
        <is>
          <t>Formális moralitás detektor: az univerzalitás elve</t>
        </is>
      </c>
      <c r="G29" s="17" t="inlineStr">
        <is>
          <t>A jegyzet formális moralitás detektorai közül az univerzalitás elve egyetlen kérdést tesz fel: jó lenne, ha mindenki, minden hasonló helyzetben így döntene? Ha egy falu azért marad meg, mert van képviselője a bizottságban, a tizenkét hasonló falu joggal kérdezi, nekik miért nem jár ugyanez. A szavazást megnyerted, de a szabály, amely szerint döntöttél, nem vállalható nyilvánosan.</t>
        </is>
      </c>
      <c r="H29" s="18" t="n">
        <v>-3</v>
      </c>
      <c r="I29" s="18" t="n">
        <v>-1</v>
      </c>
      <c r="J29" s="18" t="n">
        <v>1</v>
      </c>
      <c r="K29" s="18" t="n">
        <v>0</v>
      </c>
      <c r="L29" s="18" t="n">
        <v>1</v>
      </c>
      <c r="M29" s="19">
        <f>ROUND(3*(0.22*H29+0.22*I29+0.2*J29+0.18*K29+0.18*L29),1)</f>
        <v/>
      </c>
      <c r="N29" s="20">
        <f>IF(COUNT(H29:L29)&lt;5,"hiányzó pont",IF(OR(MIN(H29:L29)&lt;-3,MAX(H29:L29)&gt;3),"−3…+3 közé",IF(COUNTIF(H29:L29,"&gt;0")=0,"kell pozitív is",IF(COUNTIF(H29:L29,"&lt;0")=0,"kell negatív is","rendben"))))</f>
        <v/>
      </c>
    </row>
    <row r="30" ht="76" customHeight="1">
      <c r="A30" s="9" t="n">
        <v>8</v>
      </c>
      <c r="B30" s="10" t="inlineStr">
        <is>
          <t>Hajnali ötkor kelni</t>
        </is>
      </c>
      <c r="C30" s="11" t="inlineStr">
        <is>
          <t>A javaslat — néhány módosítással — a parlament elé került. Másnap országszerte terjed egy videó: egy hétéves bükkfalvi kislány elmondja, hogy ha bezárják az iskoláját, hajnali ötkor kell majd buszra szállnia. Délutánra ezrek tüntetnek a Parlament előtt, a táblákon a te neved is ott van. A sajtó azonnali reakciót vár.</t>
        </is>
      </c>
      <c r="D30" s="9" t="inlineStr">
        <is>
          <t>A</t>
        </is>
      </c>
      <c r="E30" s="11" t="inlineStr">
        <is>
          <t>Felhívod a kislány családját, és megígéred, hogy az ő falujuk iskolája marad. A történet estére megfordul: a híradó már a telefonhívásodról szól.</t>
        </is>
      </c>
      <c r="F30" s="11" t="inlineStr">
        <is>
          <t>Utólagossági hatás</t>
        </is>
      </c>
      <c r="G30" s="11" t="inlineStr">
        <is>
          <t>Az utólagossági hatás azt jelenti, hogy a legfrissebb, legélénkebb információ köré szervezzük az egész képet. A videó volt a legutolsó és legerősebb benyomás, és az egész döntést ehhez igazítottad. A gesztus emberi és gyorsan hat, de a többi falu most azt látja, hogy az számít, kinek a története kerül a híradóba.</t>
        </is>
      </c>
      <c r="H30" s="12" t="n">
        <v>-3</v>
      </c>
      <c r="I30" s="12" t="n">
        <v>0</v>
      </c>
      <c r="J30" s="12" t="n">
        <v>-2</v>
      </c>
      <c r="K30" s="12" t="n">
        <v>1</v>
      </c>
      <c r="L30" s="12" t="n">
        <v>2</v>
      </c>
      <c r="M30" s="13">
        <f>ROUND(3*(0.22*H30+0.22*I30+0.2*J30+0.18*K30+0.18*L30),1)</f>
        <v/>
      </c>
      <c r="N30" s="14">
        <f>IF(COUNT(H30:L30)&lt;5,"hiányzó pont",IF(OR(MIN(H30:L30)&lt;-3,MAX(H30:L30)&gt;3),"−3…+3 közé",IF(COUNTIF(H30:L30,"&gt;0")=0,"kell pozitív is",IF(COUNTIF(H30:L30,"&lt;0")=0,"kell negatív is","rendben"))))</f>
        <v/>
      </c>
    </row>
    <row r="31" ht="90" customHeight="1">
      <c r="A31" s="15" t="n"/>
      <c r="B31" s="16" t="n"/>
      <c r="C31" s="17" t="n"/>
      <c r="D31" s="15" t="inlineStr">
        <is>
          <t>B</t>
        </is>
      </c>
      <c r="E31" s="17" t="inlineStr">
        <is>
          <t>Nem reagálsz: az ilyen hullámok két-három nap alatt elülnek, és minden nyilatkozat csak olaj a tűzre. A munkát csendben folytatod.</t>
        </is>
      </c>
      <c r="F31" s="17" t="inlineStr">
        <is>
          <t>Problémakerülő magatartás</t>
        </is>
      </c>
      <c r="G31" s="17" t="inlineStr">
        <is>
          <t>A jegyzet háromféle vezetői stratégiát különít el: a problémakeresőt, a problémamegoldót és a problémakerülőt, aki figyelmen kívül hagyja a valós problémahelyzeteket. A hallgatás valóban nem ad újabb muníciót a vitának, és néha a hullám tényleg elül. A tüntetők viszont azt tanulják meg, hogy a döntéshozó nem áll ki elébük, és ez a bizalomban többe kerül egy rossz nyilatkozatnál.</t>
        </is>
      </c>
      <c r="H31" s="18" t="n">
        <v>1</v>
      </c>
      <c r="I31" s="18" t="n">
        <v>-3</v>
      </c>
      <c r="J31" s="18" t="n">
        <v>0</v>
      </c>
      <c r="K31" s="18" t="n">
        <v>-2</v>
      </c>
      <c r="L31" s="18" t="n">
        <v>-2</v>
      </c>
      <c r="M31" s="19">
        <f>ROUND(3*(0.22*H31+0.22*I31+0.2*J31+0.18*K31+0.18*L31),1)</f>
        <v/>
      </c>
      <c r="N31" s="20">
        <f>IF(COUNT(H31:L31)&lt;5,"hiányzó pont",IF(OR(MIN(H31:L31)&lt;-3,MAX(H31:L31)&gt;3),"−3…+3 közé",IF(COUNTIF(H31:L31,"&gt;0")=0,"kell pozitív is",IF(COUNTIF(H31:L31,"&lt;0")=0,"kell negatív is","rendben"))))</f>
        <v/>
      </c>
    </row>
    <row r="32" ht="90" customHeight="1">
      <c r="A32" s="15" t="n"/>
      <c r="B32" s="16" t="n"/>
      <c r="C32" s="17" t="n"/>
      <c r="D32" s="15" t="inlineStr">
        <is>
          <t>C</t>
        </is>
      </c>
      <c r="E32" s="17" t="inlineStr">
        <is>
          <t>Közleményt adsz ki a pontos számokkal: a gyerekek átlagos utazási ideje harmincöt perc lesz, a hajnali indulás egyedi eset. A számok igazak, és nem kell kiállnod a tömeg elé.</t>
        </is>
      </c>
      <c r="F32" s="17" t="inlineStr">
        <is>
          <t>Az érzelmek szerepe az észlelésben</t>
        </is>
      </c>
      <c r="G32" s="17" t="inlineStr">
        <is>
          <t>A jegyzet szerint a legtöbb embernél az érzelmi reakciók sokkal erősebbek a racionálisaknál: egy erős érzelmi töltetű történet mellett a pontos számok is háttérbe szorulnak. A kislány videója ilyen történet, és egy táblázat nem tud versenyezni vele. A közleményed pontos és védhető, de akik az utcán állnak, nem fogják érezni, hogy válaszoltál nekik.</t>
        </is>
      </c>
      <c r="H32" s="18" t="n">
        <v>1</v>
      </c>
      <c r="I32" s="18" t="n">
        <v>1</v>
      </c>
      <c r="J32" s="18" t="n">
        <v>1</v>
      </c>
      <c r="K32" s="18" t="n">
        <v>-1</v>
      </c>
      <c r="L32" s="18" t="n">
        <v>-2</v>
      </c>
      <c r="M32" s="19">
        <f>ROUND(3*(0.22*H32+0.22*I32+0.2*J32+0.18*K32+0.18*L32),1)</f>
        <v/>
      </c>
      <c r="N32" s="20">
        <f>IF(COUNT(H32:L32)&lt;5,"hiányzó pont",IF(OR(MIN(H32:L32)&lt;-3,MAX(H32:L32)&gt;3),"−3…+3 közé",IF(COUNTIF(H32:L32,"&gt;0")=0,"kell pozitív is",IF(COUNTIF(H32:L32,"&lt;0")=0,"kell negatív is","rendben"))))</f>
        <v/>
      </c>
    </row>
    <row r="33" ht="76" customHeight="1">
      <c r="A33" s="15" t="n"/>
      <c r="B33" s="16" t="n"/>
      <c r="C33" s="17" t="n"/>
      <c r="D33" s="15" t="inlineStr">
        <is>
          <t>D</t>
        </is>
      </c>
      <c r="E33" s="17" t="inlineStr">
        <is>
          <t>Kimész a tüntetők közé, és elmondod, mit vállalsz és mit nem: a hajnali indulást megakadályozod, de az összevonásokat nem vonod vissza. Tudod, hogy kifütyülhetnek, és minden szavadat felveszik.</t>
        </is>
      </c>
      <c r="F33" s="17" t="inlineStr">
        <is>
          <t>Mintzberg szóvivő szerepe</t>
        </is>
      </c>
      <c r="G33" s="17" t="inlineStr">
        <is>
          <t>Mintzberg szóvivő szerepében a vezető a kívülállóknak adja át az információt: elmondja, mit tesznek és miért. Személyesen, a tüntetők előtt vállalni egy kényelmetlen üzenetet ennek a legnehezebb és leghitelesebb formája. Ugyanakkor minden mondatod kötelezettség lesz, amelyet később számon kérnek rajtad.</t>
        </is>
      </c>
      <c r="H33" s="18" t="n">
        <v>2</v>
      </c>
      <c r="I33" s="18" t="n">
        <v>2</v>
      </c>
      <c r="J33" s="18" t="n">
        <v>-1</v>
      </c>
      <c r="K33" s="18" t="n">
        <v>2</v>
      </c>
      <c r="L33" s="18" t="n">
        <v>1</v>
      </c>
      <c r="M33" s="19">
        <f>ROUND(3*(0.22*H33+0.22*I33+0.2*J33+0.18*K33+0.18*L33),1)</f>
        <v/>
      </c>
      <c r="N33" s="20">
        <f>IF(COUNT(H33:L33)&lt;5,"hiányzó pont",IF(OR(MIN(H33:L33)&lt;-3,MAX(H33:L33)&gt;3),"−3…+3 közé",IF(COUNTIF(H33:L33,"&gt;0")=0,"kell pozitív is",IF(COUNTIF(H33:L33,"&lt;0")=0,"kell negatív is","rendben"))))</f>
        <v/>
      </c>
    </row>
    <row r="34" ht="104" customHeight="1">
      <c r="A34" s="9" t="n">
        <v>9</v>
      </c>
      <c r="B34" s="10" t="inlineStr">
        <is>
          <t>A tanulmány</t>
        </is>
      </c>
      <c r="C34" s="11" t="inlineStr">
        <is>
          <t>A parlamenti zárószavazás reggelén egy minisztériumi munkatárs átad neked egy belső tanulmányt. Eszerint a megtakarítás negyven százalékkal kisebb lesz a tervezettnél, mert a buszok és a városi iskolák bővítése többe kerül. A tanulmány még nem végleges, és rajtad kívül alig néhányan látták. Két óra múlva kezdődik a vita, amelyet te nyitsz meg.</t>
        </is>
      </c>
      <c r="D34" s="9" t="inlineStr">
        <is>
          <t>A</t>
        </is>
      </c>
      <c r="E34" s="11" t="inlineStr">
        <is>
          <t>Megszavazzátok a törvényt, de beteszel egy záradékot: két év múlva független felülvizsgálat jön, és ha a megtakarítás nem teljesül, a további bezárásokat felfüggesztik.</t>
        </is>
      </c>
      <c r="F34" s="11" t="inlineStr">
        <is>
          <t>Snowden–Boone: komplex helyzet</t>
        </is>
      </c>
      <c r="G34" s="11" t="inlineStr">
        <is>
          <t>Snowden és Boone szerint komplex helyzetben nincs előre ismert helyes válasz: az okok és hatások csak menet közben derülnek ki, ezért a jó vezető kísérletezik, figyel, és kész korrigálni. A záradékkal ezt a tanulási lehetőséget építetted be a törvénybe. A megoldás bölcs, de félmegoldásnak is látszhat: a tanulmányt nem hoztad nyilvánosságra, és a bezárások egy része akkor is megtörténik, ha a számok rosszak.</t>
        </is>
      </c>
      <c r="H34" s="12" t="n">
        <v>1</v>
      </c>
      <c r="I34" s="12" t="n">
        <v>-1</v>
      </c>
      <c r="J34" s="12" t="n">
        <v>2</v>
      </c>
      <c r="K34" s="12" t="n">
        <v>1</v>
      </c>
      <c r="L34" s="12" t="n">
        <v>0</v>
      </c>
      <c r="M34" s="13">
        <f>ROUND(3*(0.22*H34+0.22*I34+0.2*J34+0.18*K34+0.18*L34),1)</f>
        <v/>
      </c>
      <c r="N34" s="14">
        <f>IF(COUNT(H34:L34)&lt;5,"hiányzó pont",IF(OR(MIN(H34:L34)&lt;-3,MAX(H34:L34)&gt;3),"−3…+3 közé",IF(COUNTIF(H34:L34,"&gt;0")=0,"kell pozitív is",IF(COUNTIF(H34:L34,"&lt;0")=0,"kell negatív is","rendben"))))</f>
        <v/>
      </c>
    </row>
    <row r="35" ht="76" customHeight="1">
      <c r="A35" s="15" t="n"/>
      <c r="B35" s="16" t="n"/>
      <c r="C35" s="17" t="n"/>
      <c r="D35" s="15" t="inlineStr">
        <is>
          <t>B</t>
        </is>
      </c>
      <c r="E35" s="17" t="inlineStr">
        <is>
          <t>Nem említed: a tanulmány nem végleges, a törvény mellett a megtakarításon kívül is vannak érvek, és egy félkész szám most csak zavart keltene.</t>
        </is>
      </c>
      <c r="F35" s="17" t="inlineStr">
        <is>
          <t>Szelektív hárítás</t>
        </is>
      </c>
      <c r="G35" s="17" t="inlineStr">
        <is>
          <t>A szelektív hárítás az, amikor a kellemetlen, a kialakult képbe nem illő információt nem engedjük be. Az érvelésed nem légből kapott: a tanulmány tényleg nem végleges. Ha viszont a számok később igaznak bizonyulnak, nem az lesz a kérdés, mit tudtál, hanem az, hogy miért hallgattál.</t>
        </is>
      </c>
      <c r="H35" s="18" t="n">
        <v>1</v>
      </c>
      <c r="I35" s="18" t="n">
        <v>-3</v>
      </c>
      <c r="J35" s="18" t="n">
        <v>-2</v>
      </c>
      <c r="K35" s="18" t="n">
        <v>-2</v>
      </c>
      <c r="L35" s="18" t="n">
        <v>0</v>
      </c>
      <c r="M35" s="19">
        <f>ROUND(3*(0.22*H35+0.22*I35+0.2*J35+0.18*K35+0.18*L35),1)</f>
        <v/>
      </c>
      <c r="N35" s="20">
        <f>IF(COUNT(H35:L35)&lt;5,"hiányzó pont",IF(OR(MIN(H35:L35)&lt;-3,MAX(H35:L35)&gt;3),"−3…+3 közé",IF(COUNTIF(H35:L35,"&gt;0")=0,"kell pozitív is",IF(COUNTIF(H35:L35,"&lt;0")=0,"kell negatív is","rendben"))))</f>
        <v/>
      </c>
    </row>
    <row r="36" ht="76" customHeight="1">
      <c r="A36" s="15" t="n"/>
      <c r="B36" s="16" t="n"/>
      <c r="C36" s="17" t="n"/>
      <c r="D36" s="15" t="inlineStr">
        <is>
          <t>C</t>
        </is>
      </c>
      <c r="E36" s="17" t="inlineStr">
        <is>
          <t>Megkéred a minisztert, hogy a szavazás előtt hivatalosan erősítse meg vagy cáfolja a számokat. Ha nem teszi, a minisztérium hivatalos adataira támaszkodva igennel szavazol.</t>
        </is>
      </c>
      <c r="F36" s="17" t="inlineStr">
        <is>
          <t>Ezredes-hatás</t>
        </is>
      </c>
      <c r="G36" s="17" t="inlineStr">
        <is>
          <t>Az ezredes-hatás az a hajlamunk, hogy a magas beosztású emberektől érkező információt hitelesebbnek tartjuk. Ha a miniszter hallgat, az ő hallgatását fogadod el végső szónak, pedig a tanulmány ugyanabból a minisztériumból jött. Ez formálisan védhető, de a döntés felelősségét valaki másra helyezed át.</t>
        </is>
      </c>
      <c r="H36" s="18" t="n">
        <v>1</v>
      </c>
      <c r="I36" s="18" t="n">
        <v>1</v>
      </c>
      <c r="J36" s="18" t="n">
        <v>-1</v>
      </c>
      <c r="K36" s="18" t="n">
        <v>-3</v>
      </c>
      <c r="L36" s="18" t="n">
        <v>0</v>
      </c>
      <c r="M36" s="19">
        <f>ROUND(3*(0.22*H36+0.22*I36+0.2*J36+0.18*K36+0.18*L36),1)</f>
        <v/>
      </c>
      <c r="N36" s="20">
        <f>IF(COUNT(H36:L36)&lt;5,"hiányzó pont",IF(OR(MIN(H36:L36)&lt;-3,MAX(H36:L36)&gt;3),"−3…+3 közé",IF(COUNTIF(H36:L36,"&gt;0")=0,"kell pozitív is",IF(COUNTIF(H36:L36,"&lt;0")=0,"kell negatív is","rendben"))))</f>
        <v/>
      </c>
    </row>
    <row r="37" ht="90" customHeight="1">
      <c r="A37" s="15" t="n"/>
      <c r="B37" s="16" t="n"/>
      <c r="C37" s="17" t="n"/>
      <c r="D37" s="15" t="inlineStr">
        <is>
          <t>D</t>
        </is>
      </c>
      <c r="E37" s="17" t="inlineStr">
        <is>
          <t>A felszólalásodban nyilvánosan beszélsz a tanulmányról, és kéred a szavazás elhalasztását, amíg a számokat nem ellenőrzik. A pártod ezt árulásnak fogja tekinteni.</t>
        </is>
      </c>
      <c r="F37" s="17" t="inlineStr">
        <is>
          <t>Drucker: a döntés tesztelése</t>
        </is>
      </c>
      <c r="G37" s="17" t="inlineStr">
        <is>
          <t>Drucker hatékony döntéshozatali lépései közül az utolsó az, hogy a döntés érvényességét folyamatosan teszteljük a friss események tükrében: jók-e még az előfeltevéseink? A tanulmány éppen ilyen friss esemény, és te nem tetted félre. Ez szakmailag tisztességes lépés, de politikailag súlyos ára van, és a halasztás alatt a falvak bizonytalanságban maradnak.</t>
        </is>
      </c>
      <c r="H37" s="18" t="n">
        <v>-1</v>
      </c>
      <c r="I37" s="18" t="n">
        <v>3</v>
      </c>
      <c r="J37" s="18" t="n">
        <v>3</v>
      </c>
      <c r="K37" s="18" t="n">
        <v>2</v>
      </c>
      <c r="L37" s="18" t="n">
        <v>0</v>
      </c>
      <c r="M37" s="19">
        <f>ROUND(3*(0.22*H37+0.22*I37+0.2*J37+0.18*K37+0.18*L37),1)</f>
        <v/>
      </c>
      <c r="N37" s="20">
        <f>IF(COUNT(H37:L37)&lt;5,"hiányzó pont",IF(OR(MIN(H37:L37)&lt;-3,MAX(H37:L37)&gt;3),"−3…+3 közé",IF(COUNTIF(H37:L37,"&gt;0")=0,"kell pozitív is",IF(COUNTIF(H37:L37,"&lt;0")=0,"kell negatív is","rendben"))))</f>
        <v/>
      </c>
    </row>
    <row r="38" ht="76" customHeight="1">
      <c r="A38" s="9" t="n">
        <v>10</v>
      </c>
      <c r="B38" s="10" t="inlineStr">
        <is>
          <t>Levél Bükkfalváról</t>
        </is>
      </c>
      <c r="C38" s="11" t="inlineStr">
        <is>
          <t>A szavazás lezajlott. Este egyedül ülsz az irodádban. Az asztalodon egy kézzel írt levél a bükkfalvi kislánytól, mellette egy riporter üzenete: holnap reggel interjút kér, és egyetlen kérdése lesz — mit tanultál ebből a tíz hétből? Most kell eldöntened, mit mondasz, és mit kezdesz a tapasztalattal.</t>
        </is>
      </c>
      <c r="D38" s="9" t="inlineStr">
        <is>
          <t>A</t>
        </is>
      </c>
      <c r="E38" s="11" t="inlineStr">
        <is>
          <t>Azt mondod: a költségvetés, a párt és a határidő nem hagyott más utat, és a lehető legjobbat hoztad ki belőle. Ez nagyrészt igaz is.</t>
        </is>
      </c>
      <c r="F38" s="11" t="inlineStr">
        <is>
          <t>Énmegerősítő attribúció</t>
        </is>
      </c>
      <c r="G38" s="11" t="inlineStr">
        <is>
          <t>Az énmegerősítő attribúció az a hajlamunk, hogy a sikereinket magunknak, a kudarcainkat pedig a körülményeknek tulajdonítsuk. Nem hazudsz: a körülmények valóban szorítottak. Ha viszont csak ezt látod, éppen azt a részt hagyod ki, amelyből tanulni lehetne — a saját döntéseidet.</t>
        </is>
      </c>
      <c r="H38" s="12" t="n">
        <v>2</v>
      </c>
      <c r="I38" s="12" t="n">
        <v>-1</v>
      </c>
      <c r="J38" s="12" t="n">
        <v>-1</v>
      </c>
      <c r="K38" s="12" t="n">
        <v>-3</v>
      </c>
      <c r="L38" s="12" t="n">
        <v>0</v>
      </c>
      <c r="M38" s="13">
        <f>ROUND(3*(0.22*H38+0.22*I38+0.2*J38+0.18*K38+0.18*L38),1)</f>
        <v/>
      </c>
      <c r="N38" s="14">
        <f>IF(COUNT(H38:L38)&lt;5,"hiányzó pont",IF(OR(MIN(H38:L38)&lt;-3,MAX(H38:L38)&gt;3),"−3…+3 közé",IF(COUNTIF(H38:L38,"&gt;0")=0,"kell pozitív is",IF(COUNTIF(H38:L38,"&lt;0")=0,"kell negatív is","rendben"))))</f>
        <v/>
      </c>
    </row>
    <row r="39" ht="90" customHeight="1">
      <c r="A39" s="15" t="n"/>
      <c r="B39" s="16" t="n"/>
      <c r="C39" s="17" t="n"/>
      <c r="D39" s="15" t="inlineStr">
        <is>
          <t>B</t>
        </is>
      </c>
      <c r="E39" s="17" t="inlineStr">
        <is>
          <t>Nem adsz interjút. Úgy gondolod, a számok és az idő majd igazolnak, és felesleges most magyarázkodni.</t>
        </is>
      </c>
      <c r="F39" s="17" t="inlineStr">
        <is>
          <t>Hamisan pozitív hiba</t>
        </is>
      </c>
      <c r="G39" s="17" t="inlineStr">
        <is>
          <t>James March hamisan pozitív hibának nevezi, amikor a döntéshozó komolyan hisz egy olyan kontrollban, amely a valóságban nincs meg. Abban bízni, hogy az idő magától igazol, ilyen hit: a számok értelmezése nem a te kezedben lesz. A hallgatás megóv egy nehéz beszélgetéstől, de a kérdést nyitva hagyja, és mások fogják megválaszolni helyetted.</t>
        </is>
      </c>
      <c r="H39" s="18" t="n">
        <v>1</v>
      </c>
      <c r="I39" s="18" t="n">
        <v>-3</v>
      </c>
      <c r="J39" s="18" t="n">
        <v>-1</v>
      </c>
      <c r="K39" s="18" t="n">
        <v>-2</v>
      </c>
      <c r="L39" s="18" t="n">
        <v>-1</v>
      </c>
      <c r="M39" s="19">
        <f>ROUND(3*(0.22*H39+0.22*I39+0.2*J39+0.18*K39+0.18*L39),1)</f>
        <v/>
      </c>
      <c r="N39" s="20">
        <f>IF(COUNT(H39:L39)&lt;5,"hiányzó pont",IF(OR(MIN(H39:L39)&lt;-3,MAX(H39:L39)&gt;3),"−3…+3 közé",IF(COUNTIF(H39:L39,"&gt;0")=0,"kell pozitív is",IF(COUNTIF(H39:L39,"&lt;0")=0,"kell negatív is","rendben"))))</f>
        <v/>
      </c>
    </row>
    <row r="40" ht="76" customHeight="1">
      <c r="A40" s="15" t="n"/>
      <c r="B40" s="16" t="n"/>
      <c r="C40" s="17" t="n"/>
      <c r="D40" s="15" t="inlineStr">
        <is>
          <t>C</t>
        </is>
      </c>
      <c r="E40" s="17" t="inlineStr">
        <is>
          <t>Az interjú előtt összehívod a bizottságot, és mindenki elmondja, mit csinálna másképp. Ebből közös jelentés készül, amelyet a riporter is megkap.</t>
        </is>
      </c>
      <c r="F40" s="17" t="inlineStr">
        <is>
          <t>Csoportos döntéshozatal</t>
        </is>
      </c>
      <c r="G40" s="17" t="inlineStr">
        <is>
          <t>A jegyzet szerint a csoportos döntések során megoszlik a felelősség, a valóban bevont résztvevők pedig elkötelezettebbé válnak. Egy közös visszatekintés több nézőpontot hoz, mint a te egyedüli mérlegelésed. Az ára, hogy a saját felelősséged beleolvad a közösbe, és a jelentés óvatosabb lesz egy személyes vallomásnál.</t>
        </is>
      </c>
      <c r="H40" s="18" t="n">
        <v>1</v>
      </c>
      <c r="I40" s="18" t="n">
        <v>2</v>
      </c>
      <c r="J40" s="18" t="n">
        <v>1</v>
      </c>
      <c r="K40" s="18" t="n">
        <v>-1</v>
      </c>
      <c r="L40" s="18" t="n">
        <v>3</v>
      </c>
      <c r="M40" s="19">
        <f>ROUND(3*(0.22*H40+0.22*I40+0.2*J40+0.18*K40+0.18*L40),1)</f>
        <v/>
      </c>
      <c r="N40" s="20">
        <f>IF(COUNT(H40:L40)&lt;5,"hiányzó pont",IF(OR(MIN(H40:L40)&lt;-3,MAX(H40:L40)&gt;3),"−3…+3 közé",IF(COUNTIF(H40:L40,"&gt;0")=0,"kell pozitív is",IF(COUNTIF(H40:L40,"&lt;0")=0,"kell negatív is","rendben"))))</f>
        <v/>
      </c>
    </row>
    <row r="41" ht="76" customHeight="1">
      <c r="A41" s="15" t="n"/>
      <c r="B41" s="16" t="n"/>
      <c r="C41" s="17" t="n"/>
      <c r="D41" s="15" t="inlineStr">
        <is>
          <t>D</t>
        </is>
      </c>
      <c r="E41" s="17" t="inlineStr">
        <is>
          <t>Leírod magadnak, hol döntöttél rosszul és miért, mit hittél igaznak, ami nem volt az — és holnap ezt nyilvánosan is elmondod, még ha a pártod nem is örül neki.</t>
        </is>
      </c>
      <c r="F41" s="17" t="inlineStr">
        <is>
          <t>Reflektív gondolkodás és a következtetési létra</t>
        </is>
      </c>
      <c r="G41" s="17" t="inlineStr">
        <is>
          <t>A következtetési létra azt írja le, hogyan jutunk a látott tényekből villámgyorsan feltevésekhez és ítéletekhez; a reflektív gondolkodás ezen a létrán való tudatos lemászás. Ha végigveszed, melyik feltevésed vezetett félre, a következő döntésed jobb lesz. A nyilvános beismerés hiteles, de politikailag sebezhetővé tesz.</t>
        </is>
      </c>
      <c r="H41" s="18" t="n">
        <v>-1</v>
      </c>
      <c r="I41" s="18" t="n">
        <v>3</v>
      </c>
      <c r="J41" s="18" t="n">
        <v>2</v>
      </c>
      <c r="K41" s="18" t="n">
        <v>3</v>
      </c>
      <c r="L41" s="18" t="n">
        <v>0</v>
      </c>
      <c r="M41" s="19">
        <f>ROUND(3*(0.22*H41+0.22*I41+0.2*J41+0.18*K41+0.18*L41),1)</f>
        <v/>
      </c>
      <c r="N41" s="20">
        <f>IF(COUNT(H41:L41)&lt;5,"hiányzó pont",IF(OR(MIN(H41:L41)&lt;-3,MAX(H41:L41)&gt;3),"−3…+3 közé",IF(COUNTIF(H41:L41,"&gt;0")=0,"kell pozitív is",IF(COUNTIF(H41:L41,"&lt;0")=0,"kell negatív is","rendben"))))</f>
        <v/>
      </c>
    </row>
  </sheetData>
  <autoFilter ref="A1:N41"/>
  <mergeCells count="30">
    <mergeCell ref="C14:C17"/>
    <mergeCell ref="B22:B25"/>
    <mergeCell ref="B18:B21"/>
    <mergeCell ref="C26:C29"/>
    <mergeCell ref="A30:A33"/>
    <mergeCell ref="C30:C33"/>
    <mergeCell ref="B2:B5"/>
    <mergeCell ref="C10:C13"/>
    <mergeCell ref="B14:B17"/>
    <mergeCell ref="C22:C25"/>
    <mergeCell ref="A6:A9"/>
    <mergeCell ref="B38:B41"/>
    <mergeCell ref="B10:B13"/>
    <mergeCell ref="A18:A21"/>
    <mergeCell ref="A26:A29"/>
    <mergeCell ref="A2:A5"/>
    <mergeCell ref="B34:B37"/>
    <mergeCell ref="C2:C5"/>
    <mergeCell ref="B6:B9"/>
    <mergeCell ref="B30:B33"/>
    <mergeCell ref="A14:A17"/>
    <mergeCell ref="C38:C41"/>
    <mergeCell ref="A10:A13"/>
    <mergeCell ref="A22:A25"/>
    <mergeCell ref="A38:A41"/>
    <mergeCell ref="B26:B29"/>
    <mergeCell ref="A34:A37"/>
    <mergeCell ref="C34:C37"/>
    <mergeCell ref="C6:C9"/>
    <mergeCell ref="C18:C21"/>
  </mergeCells>
  <conditionalFormatting sqref="H2:L41">
    <cfRule type="cellIs" priority="1" operator="greaterThan" dxfId="0">
      <formula>0</formula>
    </cfRule>
    <cfRule type="cellIs" priority="2" operator="lessThan" dxfId="1">
      <formula>0</formula>
    </cfRule>
  </conditionalFormatting>
  <conditionalFormatting sqref="N2:N41">
    <cfRule type="expression" priority="3" dxfId="1">
      <formula>N2&lt;&gt;"rendben"</formula>
    </cfRule>
  </conditionalFormatting>
  <dataValidations count="1">
    <dataValidation sqref="H2:L2 H3:L3 H4:L4 H5:L5 H6:L6 H7:L7 H8:L8 H9:L9 H10:L10 H11:L11 H12:L12 H13:L13 H14:L14 H15:L15 H16:L16 H17:L17 H18:L18 H19:L19 H20:L20 H21:L21 H22:L22 H23:L23 H24:L24 H25:L25 H26:L26 H27:L27 H28:L28 H29:L29 H30:L30 H31:L31 H32:L32 H33:L33 H34:L34 H35:L35 H36:L36 H37:L37 H38:L38 H39:L39 H40:L40 H41:L41" showDropDown="0" showInputMessage="0" showErrorMessage="1" allowBlank="0" errorTitle="Érvénytelen pont" error="Egész számot adj meg −3 és +3 között." type="whole" operator="between">
      <formula1>-3</formula1>
      <formula2>3</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N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6" customWidth="1" min="3" max="3"/>
    <col width="5" customWidth="1" min="4" max="4"/>
    <col width="44" customWidth="1" min="5" max="5"/>
    <col width="22" customWidth="1" min="6" max="6"/>
    <col width="58" customWidth="1" min="7" max="7"/>
    <col width="11" customWidth="1" min="8" max="8"/>
    <col width="11" customWidth="1" min="9" max="9"/>
    <col width="11" customWidth="1" min="10" max="10"/>
    <col width="11" customWidth="1" min="11" max="11"/>
    <col width="11" customWidth="1" min="12" max="12"/>
    <col width="13" customWidth="1" min="13" max="13"/>
    <col width="18" customWidth="1" min="14" max="14"/>
  </cols>
  <sheetData>
    <row r="1" ht="44" customHeight="1">
      <c r="A1" s="6" t="inlineStr">
        <is>
          <t>Sz.</t>
        </is>
      </c>
      <c r="B1" s="6" t="inlineStr">
        <is>
          <t>Jelenet címe</t>
        </is>
      </c>
      <c r="C1" s="6" t="inlineStr">
        <is>
          <t>Helyzet (a játékos ezt olvassa)</t>
        </is>
      </c>
      <c r="D1" s="6" t="inlineStr">
        <is>
          <t>Jel</t>
        </is>
      </c>
      <c r="E1" s="6" t="inlineStr">
        <is>
          <t>Válasz (a játékos ezt olvassa)</t>
        </is>
      </c>
      <c r="F1" s="6" t="inlineStr">
        <is>
          <t>Fogalom (a jegyzetből)</t>
        </is>
      </c>
      <c r="G1" s="6" t="inlineStr">
        <is>
          <t>Kiértékelés (a válasz után jelenik meg)</t>
        </is>
      </c>
      <c r="H1" s="6" t="inlineStr">
        <is>
          <t>Következetesség</t>
        </is>
      </c>
      <c r="I1" s="6" t="inlineStr">
        <is>
          <t>Átláthatóság</t>
        </is>
      </c>
      <c r="J1" s="6" t="inlineStr">
        <is>
          <t>Döntési minőség</t>
        </is>
      </c>
      <c r="K1" s="6" t="inlineStr">
        <is>
          <t>Felelősségvállalás</t>
        </is>
      </c>
      <c r="L1" s="6" t="inlineStr">
        <is>
          <t>Érintettek bevonása</t>
        </is>
      </c>
      <c r="M1" s="6" t="inlineStr">
        <is>
          <t>Súlyozott hatás a Bizalomindexre</t>
        </is>
      </c>
      <c r="N1" s="6" t="inlineStr">
        <is>
          <t>Ellenőrzés</t>
        </is>
      </c>
    </row>
    <row r="2" ht="90" customHeight="1">
      <c r="A2" s="9" t="n">
        <v>1</v>
      </c>
      <c r="B2" s="10" t="inlineStr">
        <is>
          <t>Péntekre egy terv</t>
        </is>
      </c>
      <c r="C2" s="11" t="inlineStr">
        <is>
          <t>Hétfő reggel levelet kapsz a vezérigazgatótól: a patikalánc felmondással fenyeget, pénteken tervet kér tőled. Réka, a patikalánccal foglalkozó csapat vezetője már délelőtt bejön egy kész ötlettel: vegyetek fel tíz ideiglenes munkatársat, és péntekre a terv is kész. A csapat kimerült, a vezérigazgató türelmetlen.</t>
        </is>
      </c>
      <c r="D2" s="9" t="inlineStr">
        <is>
          <t>A</t>
        </is>
      </c>
      <c r="E2" s="11" t="inlineStr">
        <is>
          <t>Elfogadod Réka ötletét: tíz ideiglenes munkatárs, péntekre kész a terv. Gyors, érthető, és a csapat is megkönnyebbül.</t>
        </is>
      </c>
      <c r="F2" s="11" t="inlineStr">
        <is>
          <t>Programozott és nem programozott döntés</t>
        </is>
      </c>
      <c r="G2" s="11" t="inlineStr">
        <is>
          <t>Simon programozott döntésnek nevezi azt, amelyre kész rutin van, nem programozottnak azt, amelyre nincs előírt és követhető út. A „több ember kell” bevett válasz egy olyan helyzetre, amelyet még senki nem értett meg igazán. Gyorsan cselekszel, és a csapat hálás, de ha a baj nem a létszámban van, tíz új ember csak több hibát fog termelni.</t>
        </is>
      </c>
      <c r="H2" s="12" t="n">
        <v>2</v>
      </c>
      <c r="I2" s="12" t="n">
        <v>1</v>
      </c>
      <c r="J2" s="12" t="n">
        <v>-2</v>
      </c>
      <c r="K2" s="12" t="n">
        <v>0</v>
      </c>
      <c r="L2" s="12" t="n">
        <v>-1</v>
      </c>
      <c r="M2" s="13">
        <f>ROUND(3*(0.22*H2+0.22*I2+0.2*J2+0.18*K2+0.18*L2),1)</f>
        <v/>
      </c>
      <c r="N2" s="14">
        <f>IF(COUNT(H2:L2)&lt;5,"hiányzó pont",IF(OR(MIN(H2:L2)&lt;-3,MAX(H2:L2)&gt;3),"−3…+3 közé",IF(COUNTIF(H2:L2,"&gt;0")=0,"kell pozitív is",IF(COUNTIF(H2:L2,"&lt;0")=0,"kell negatív is","rendben"))))</f>
        <v/>
      </c>
    </row>
    <row r="3" ht="90" customHeight="1">
      <c r="A3" s="15" t="n"/>
      <c r="B3" s="16" t="n"/>
      <c r="C3" s="17" t="n"/>
      <c r="D3" s="15" t="inlineStr">
        <is>
          <t>B</t>
        </is>
      </c>
      <c r="E3" s="17" t="inlineStr">
        <is>
          <t>Pénteken egy nagy átalakítási tervet teszel le: új rendszer, új folyamatok, új csapatbeosztás, mindent egyszerre. A vezérigazgató lenyűgözve lesz, de a csapat nem tudja, hogyan bírja majd.</t>
        </is>
      </c>
      <c r="F3" s="17" t="inlineStr">
        <is>
          <t>Snowden–Boone: egyszerű és komplex helyzet</t>
        </is>
      </c>
      <c r="G3" s="17" t="inlineStr">
        <is>
          <t>Snowden és Boone szerint egyszerű helyzetben ismert a helyes válasz, komplex helyzetben viszont az okok és hatások csak menet közben derülnek ki, ezért óvatosan, kis lépésekben kell haladni. A nagy terv úgy kezeli a helyzetet, mintha már tudnád a választ. Felülről erősnek látszol, alulról viszont egy kimerült csapatra teszel még egy terhet.</t>
        </is>
      </c>
      <c r="H3" s="18" t="n">
        <v>1</v>
      </c>
      <c r="I3" s="18" t="n">
        <v>2</v>
      </c>
      <c r="J3" s="18" t="n">
        <v>-2</v>
      </c>
      <c r="K3" s="18" t="n">
        <v>1</v>
      </c>
      <c r="L3" s="18" t="n">
        <v>-3</v>
      </c>
      <c r="M3" s="19">
        <f>ROUND(3*(0.22*H3+0.22*I3+0.2*J3+0.18*K3+0.18*L3),1)</f>
        <v/>
      </c>
      <c r="N3" s="20">
        <f>IF(COUNT(H3:L3)&lt;5,"hiányzó pont",IF(OR(MIN(H3:L3)&lt;-3,MAX(H3:L3)&gt;3),"−3…+3 közé",IF(COUNTIF(H3:L3,"&gt;0")=0,"kell pozitív is",IF(COUNTIF(H3:L3,"&lt;0")=0,"kell negatív is","rendben"))))</f>
        <v/>
      </c>
    </row>
    <row r="4" ht="76" customHeight="1">
      <c r="A4" s="15" t="n"/>
      <c r="B4" s="16" t="n"/>
      <c r="C4" s="17" t="n"/>
      <c r="D4" s="15" t="inlineStr">
        <is>
          <t>C</t>
        </is>
      </c>
      <c r="E4" s="17" t="inlineStr">
        <is>
          <t>Még aznap felhívod a patikalánc beszerzési vezetőjét, és megkérdezed, mi zavarja őket leginkább. Tudod, hogy a vezérigazgató nem szereti, ha az ő tudta nélkül tárgyalsz az ügyféllel.</t>
        </is>
      </c>
      <c r="F4" s="17" t="inlineStr">
        <is>
          <t>Mintzberg kapcsolattartó szerepe</t>
        </is>
      </c>
      <c r="G4" s="17" t="inlineStr">
        <is>
          <t>Mintzberg kapcsolattartó szerepében a vezető kapcsolatot tart a szervezeten kívüliekkel, és ezen keresztül olyan információhoz jut, amely bentről nem látszik. Az ügyfél szavaiból pontosabb képet kapsz, mint bármilyen belső riportból. A hívás viszont a vezérigazgató feje fölött történt, és ezt ő is így fogja látni.</t>
        </is>
      </c>
      <c r="H4" s="18" t="n">
        <v>-1</v>
      </c>
      <c r="I4" s="18" t="n">
        <v>-1</v>
      </c>
      <c r="J4" s="18" t="n">
        <v>2</v>
      </c>
      <c r="K4" s="18" t="n">
        <v>2</v>
      </c>
      <c r="L4" s="18" t="n">
        <v>2</v>
      </c>
      <c r="M4" s="19">
        <f>ROUND(3*(0.22*H4+0.22*I4+0.2*J4+0.18*K4+0.18*L4),1)</f>
        <v/>
      </c>
      <c r="N4" s="20">
        <f>IF(COUNT(H4:L4)&lt;5,"hiányzó pont",IF(OR(MIN(H4:L4)&lt;-3,MAX(H4:L4)&gt;3),"−3…+3 közé",IF(COUNTIF(H4:L4,"&gt;0")=0,"kell pozitív is",IF(COUNTIF(H4:L4,"&lt;0")=0,"kell negatív is","rendben"))))</f>
        <v/>
      </c>
    </row>
    <row r="5" ht="76" customHeight="1">
      <c r="A5" s="15" t="n"/>
      <c r="B5" s="16" t="n"/>
      <c r="C5" s="17" t="n"/>
      <c r="D5" s="15" t="inlineStr">
        <is>
          <t>D</t>
        </is>
      </c>
      <c r="E5" s="17" t="inlineStr">
        <is>
          <t>Csütörtökig nem írsz tervet: előbb leülsz Rékával és a két legtapasztaltabb ügyintézővel, és leírjátok, mi pontosan a baj, mit akar a patikalánc, és mit nem szeretnétek feláldozni. A vezérigazgató így csak az utolsó pillanatban kap anyagot.</t>
        </is>
      </c>
      <c r="F5" s="17" t="inlineStr">
        <is>
          <t>PrOACT-modell</t>
        </is>
      </c>
      <c r="G5" s="17" t="inlineStr">
        <is>
          <t>Ez a PrOACT-modell eleje: a probléma pontos meghatározása és a célok összegyűjtése, mielőtt bármilyen megoldásról döntenénk. Réka ötlete már egy kész válasz volt, te viszont előbb azt tisztáztad, mi a kérdés. Ennek ára a feszes határidő és egy vezérigazgató, aki addig nem lát semmit.</t>
        </is>
      </c>
      <c r="H5" s="18" t="n">
        <v>-1</v>
      </c>
      <c r="I5" s="18" t="n">
        <v>1</v>
      </c>
      <c r="J5" s="18" t="n">
        <v>3</v>
      </c>
      <c r="K5" s="18" t="n">
        <v>1</v>
      </c>
      <c r="L5" s="18" t="n">
        <v>2</v>
      </c>
      <c r="M5" s="19">
        <f>ROUND(3*(0.22*H5+0.22*I5+0.2*J5+0.18*K5+0.18*L5),1)</f>
        <v/>
      </c>
      <c r="N5" s="20">
        <f>IF(COUNT(H5:L5)&lt;5,"hiányzó pont",IF(OR(MIN(H5:L5)&lt;-3,MAX(H5:L5)&gt;3),"−3…+3 közé",IF(COUNTIF(H5:L5,"&gt;0")=0,"kell pozitív is",IF(COUNTIF(H5:L5,"&lt;0")=0,"kell negatív is","rendben"))))</f>
        <v/>
      </c>
    </row>
    <row r="6" ht="76" customHeight="1">
      <c r="A6" s="9" t="n">
        <v>2</v>
      </c>
      <c r="B6" s="10" t="inlineStr">
        <is>
          <t>Egymást hibáztatják</t>
        </is>
      </c>
      <c r="C6" s="11" t="inlineStr">
        <is>
          <t>Szerdán összehívod az érintett vezetőket. Gábor, az értékesítési igazgató szerint a baj az, hogy az üzemeltetés lassú. Anita, az üzemeltetés vezetője szerint az értékesítés lehetetlen határidőket ígér. A raktár és az informatika képviselője hallgat. Egy órád van, és a végén mindenki azt várja, hogy te mondd meg, hol a hiba.</t>
        </is>
      </c>
      <c r="D6" s="9" t="inlineStr">
        <is>
          <t>A</t>
        </is>
      </c>
      <c r="E6" s="11" t="inlineStr">
        <is>
          <t>A táblára felírjátok, kiket érint a patikalánc kiszolgálása — értékesítés, üzemeltetés, raktár, informatika, a patikusok, sőt a betegek is —, és mindegyiknél azt, mennyi múlik rajtuk és mekkora a beleszólásuk. Az óra végére még nincs döntés.</t>
        </is>
      </c>
      <c r="F6" s="11" t="inlineStr">
        <is>
          <t>Érintett-térkép</t>
        </is>
      </c>
      <c r="G6" s="11" t="inlineStr">
        <is>
          <t>Az érintett-térkép azt mutatja meg, kik mind érintettek egy döntésben, beleértve azokat is, akik nincsenek a teremben, például a patikusokat és a betegeket. Ettől a vita a hibáztatásról átkerült arra, kinek mi a dolga. Az ára, hogy az óra végén még nincs döntés, és Gábor ezt időhúzásnak fogja látni.</t>
        </is>
      </c>
      <c r="H6" s="12" t="n">
        <v>0</v>
      </c>
      <c r="I6" s="12" t="n">
        <v>2</v>
      </c>
      <c r="J6" s="12" t="n">
        <v>2</v>
      </c>
      <c r="K6" s="12" t="n">
        <v>-1</v>
      </c>
      <c r="L6" s="12" t="n">
        <v>3</v>
      </c>
      <c r="M6" s="13">
        <f>ROUND(3*(0.22*H6+0.22*I6+0.2*J6+0.18*K6+0.18*L6),1)</f>
        <v/>
      </c>
      <c r="N6" s="14">
        <f>IF(COUNT(H6:L6)&lt;5,"hiányzó pont",IF(OR(MIN(H6:L6)&lt;-3,MAX(H6:L6)&gt;3),"−3…+3 közé",IF(COUNTIF(H6:L6,"&gt;0")=0,"kell pozitív is",IF(COUNTIF(H6:L6,"&lt;0")=0,"kell negatív is","rendben"))))</f>
        <v/>
      </c>
    </row>
    <row r="7" ht="90" customHeight="1">
      <c r="A7" s="15" t="n"/>
      <c r="B7" s="16" t="n"/>
      <c r="C7" s="17" t="n"/>
      <c r="D7" s="15" t="inlineStr">
        <is>
          <t>B</t>
        </is>
      </c>
      <c r="E7" s="17" t="inlineStr">
        <is>
          <t>Megkérsz minden területet, hogy péntekig írja le, szerinte mi a baj, és ezeket összesíted. Mindenki szót kap, de tudod, hogy öt különböző választ fogsz kapni.</t>
        </is>
      </c>
      <c r="F7" s="17" t="inlineStr">
        <is>
          <t>Szelektív észlelés</t>
        </is>
      </c>
      <c r="G7" s="17" t="inlineStr">
        <is>
          <t>A szelektív észlelés az, amikor mindenki abból a szemszögből látja a problémát, ahonnan jön: a jegyzet példájában a marketinges a reklámban, a pénzügyes a pénzügyekben látja a bajt. Minden terület a saját válaszát fogja hozni, és ezeket egymás mellé tenni már önmagában tanulságos. A kép viszont széttöredezett marad, és a döntés terhe továbbra is rajtad lesz.</t>
        </is>
      </c>
      <c r="H7" s="18" t="n">
        <v>1</v>
      </c>
      <c r="I7" s="18" t="n">
        <v>1</v>
      </c>
      <c r="J7" s="18" t="n">
        <v>-1</v>
      </c>
      <c r="K7" s="18" t="n">
        <v>-1</v>
      </c>
      <c r="L7" s="18" t="n">
        <v>2</v>
      </c>
      <c r="M7" s="19">
        <f>ROUND(3*(0.22*H7+0.22*I7+0.2*J7+0.18*K7+0.18*L7),1)</f>
        <v/>
      </c>
      <c r="N7" s="20">
        <f>IF(COUNT(H7:L7)&lt;5,"hiányzó pont",IF(OR(MIN(H7:L7)&lt;-3,MAX(H7:L7)&gt;3),"−3…+3 közé",IF(COUNTIF(H7:L7,"&gt;0")=0,"kell pozitív is",IF(COUNTIF(H7:L7,"&lt;0")=0,"kell negatív is","rendben"))))</f>
        <v/>
      </c>
    </row>
    <row r="8" ht="76" customHeight="1">
      <c r="A8" s="15" t="n"/>
      <c r="B8" s="16" t="n"/>
      <c r="C8" s="17" t="n"/>
      <c r="D8" s="15" t="inlineStr">
        <is>
          <t>C</t>
        </is>
      </c>
      <c r="E8" s="17" t="inlineStr">
        <is>
          <t>Nem engeded tovább a vitát: a múlt heti tájékoztatón azt hallottad, hogy a raktár késik, ezért kimondod, hogy a gond ott van, és oda küldesz erősítést. Legalább történik valami.</t>
        </is>
      </c>
      <c r="F8" s="17" t="inlineStr">
        <is>
          <t>Elsőségi hatás</t>
        </is>
      </c>
      <c r="G8" s="17" t="inlineStr">
        <is>
          <t>Az elsőségi hatás azt jelenti, hogy a legelső információ köré szervezzük a később kapottakat: az első benyomás határozza meg az egész képet. A raktárról hallott első hír lett a kiindulópontod, és az egész vitát ehhez igazítottad. Ez gyors és határozott lépés, de ha az első hír félrevezetett, most rossz helyre küldesz embert.</t>
        </is>
      </c>
      <c r="H8" s="18" t="n">
        <v>2</v>
      </c>
      <c r="I8" s="18" t="n">
        <v>-1</v>
      </c>
      <c r="J8" s="18" t="n">
        <v>-2</v>
      </c>
      <c r="K8" s="18" t="n">
        <v>2</v>
      </c>
      <c r="L8" s="18" t="n">
        <v>-2</v>
      </c>
      <c r="M8" s="19">
        <f>ROUND(3*(0.22*H8+0.22*I8+0.2*J8+0.18*K8+0.18*L8),1)</f>
        <v/>
      </c>
      <c r="N8" s="20">
        <f>IF(COUNT(H8:L8)&lt;5,"hiányzó pont",IF(OR(MIN(H8:L8)&lt;-3,MAX(H8:L8)&gt;3),"−3…+3 közé",IF(COUNTIF(H8:L8,"&gt;0")=0,"kell pozitív is",IF(COUNTIF(H8:L8,"&lt;0")=0,"kell negatív is","rendben"))))</f>
        <v/>
      </c>
    </row>
    <row r="9" ht="76" customHeight="1">
      <c r="A9" s="15" t="n"/>
      <c r="B9" s="16" t="n"/>
      <c r="C9" s="17" t="n"/>
      <c r="D9" s="15" t="inlineStr">
        <is>
          <t>D</t>
        </is>
      </c>
      <c r="E9" s="17" t="inlineStr">
        <is>
          <t>Gábornak adsz igazat: az üzemeltetésről mindenki tudja, hogy lassú és merev, az értékesítés pedig hozza a pénzt. Anita elsápad, de a vita gyorsan lezárul.</t>
        </is>
      </c>
      <c r="F9" s="17" t="inlineStr">
        <is>
          <t>Sztereotipizálás</t>
        </is>
      </c>
      <c r="G9" s="17" t="inlineStr">
        <is>
          <t>A sztereotipizálás az, amikor valakit az alapján ítélünk meg, ahogyan azt a csoportot látjuk, amelyhez tartozik. Az „üzemeltetés lassú” kép kényelmes és gyors, és néha igaz is. Itt viszont eldöntötted a kérdést anélkül, hogy megnézted volna, tényleg ott van-e a baj — és Anita csapata ezt nem fogja elfelejteni.</t>
        </is>
      </c>
      <c r="H9" s="18" t="n">
        <v>1</v>
      </c>
      <c r="I9" s="18" t="n">
        <v>-1</v>
      </c>
      <c r="J9" s="18" t="n">
        <v>-2</v>
      </c>
      <c r="K9" s="18" t="n">
        <v>1</v>
      </c>
      <c r="L9" s="18" t="n">
        <v>-3</v>
      </c>
      <c r="M9" s="19">
        <f>ROUND(3*(0.22*H9+0.22*I9+0.2*J9+0.18*K9+0.18*L9),1)</f>
        <v/>
      </c>
      <c r="N9" s="20">
        <f>IF(COUNT(H9:L9)&lt;5,"hiányzó pont",IF(OR(MIN(H9:L9)&lt;-3,MAX(H9:L9)&gt;3),"−3…+3 közé",IF(COUNTIF(H9:L9,"&gt;0")=0,"kell pozitív is",IF(COUNTIF(H9:L9,"&lt;0")=0,"kell negatív is","rendben"))))</f>
        <v/>
      </c>
    </row>
    <row r="10" ht="76" customHeight="1">
      <c r="A10" s="9" t="n">
        <v>3</v>
      </c>
      <c r="B10" s="10" t="inlineStr">
        <is>
          <t>„Cseréld le Rékát”</t>
        </is>
      </c>
      <c r="C10" s="11" t="inlineStr">
        <is>
          <t>A vezérigazgató behív az irodájába. A tulajdonosok nyugtalanok, és szerinte a gond Réka: ő vezeti a patikalánc-csapatot, nála csúsznak a dolgok. Azt mondja, cseréld le. Te tudod, hogy Réka csapatához tavasz óta harminc százalékkal több ügy érkezik, ugyanannyi emberrel.</t>
        </is>
      </c>
      <c r="D10" s="9" t="inlineStr">
        <is>
          <t>A</t>
        </is>
      </c>
      <c r="E10" s="11" t="inlineStr">
        <is>
          <t>Leváltod Rékát, és egy tapasztaltabb kollégát teszel a helyére. A tulajdonosok látják, hogy történik valami, és a vezérigazgató is megnyugszik.</t>
        </is>
      </c>
      <c r="F10" s="11" t="inlineStr">
        <is>
          <t>Alapvető attribúciós hiba</t>
        </is>
      </c>
      <c r="G10" s="11" t="inlineStr">
        <is>
          <t>Az alapvető attribúciós hiba az a hajlamunk, hogy mások kudarcát a személyükkel magyarázzuk, és alábecsüljük a helyzet hatását. Réka csapatának harminc százalékkal több munkája lett, a döntés mégis őt nevezte meg okként. A leváltás gyors jel a tulajdonosoknak, de ha a terhelés marad, az új vezető ugyanígy fog elbukni.</t>
        </is>
      </c>
      <c r="H10" s="12" t="n">
        <v>1</v>
      </c>
      <c r="I10" s="12" t="n">
        <v>-1</v>
      </c>
      <c r="J10" s="12" t="n">
        <v>-2</v>
      </c>
      <c r="K10" s="12" t="n">
        <v>-1</v>
      </c>
      <c r="L10" s="12" t="n">
        <v>-2</v>
      </c>
      <c r="M10" s="13">
        <f>ROUND(3*(0.22*H10+0.22*I10+0.2*J10+0.18*K10+0.18*L10),1)</f>
        <v/>
      </c>
      <c r="N10" s="14">
        <f>IF(COUNT(H10:L10)&lt;5,"hiányzó pont",IF(OR(MIN(H10:L10)&lt;-3,MAX(H10:L10)&gt;3),"−3…+3 közé",IF(COUNTIF(H10:L10,"&gt;0")=0,"kell pozitív is",IF(COUNTIF(H10:L10,"&lt;0")=0,"kell negatív is","rendben"))))</f>
        <v/>
      </c>
    </row>
    <row r="11" ht="76" customHeight="1">
      <c r="A11" s="15" t="n"/>
      <c r="B11" s="16" t="n"/>
      <c r="C11" s="17" t="n"/>
      <c r="D11" s="15" t="inlineStr">
        <is>
          <t>B</t>
        </is>
      </c>
      <c r="E11" s="17" t="inlineStr">
        <is>
          <t>Kiállsz Réka mellett, és megmutatod a vezérigazgatónak a számokat: a csapata terhelése harminc százalékkal nőtt. Tudod, hogy ha a helyzet nem javul, innentől te is a célkeresztbe kerülsz.</t>
        </is>
      </c>
      <c r="F11" s="17" t="inlineStr">
        <is>
          <t>Mintzberg vezető szerepe</t>
        </is>
      </c>
      <c r="G11" s="17" t="inlineStr">
        <is>
          <t>Mintzberg vezető szerepe a vezető és a beosztottai közötti viszonyról szól, és ez hatja át az egész vezetői munkát. Azzal, hogy nyomás alatt is kiálltál Réka mellett, a csapat azt látja, hogy számíthat rád. Ezzel viszont a saját hitelességedet is odatetted mellé: ha a számok nem javulnak, a kérdés már rólad fog szólni.</t>
        </is>
      </c>
      <c r="H11" s="18" t="n">
        <v>2</v>
      </c>
      <c r="I11" s="18" t="n">
        <v>2</v>
      </c>
      <c r="J11" s="18" t="n">
        <v>1</v>
      </c>
      <c r="K11" s="18" t="n">
        <v>3</v>
      </c>
      <c r="L11" s="18" t="n">
        <v>-1</v>
      </c>
      <c r="M11" s="19">
        <f>ROUND(3*(0.22*H11+0.22*I11+0.2*J11+0.18*K11+0.18*L11),1)</f>
        <v/>
      </c>
      <c r="N11" s="20">
        <f>IF(COUNT(H11:L11)&lt;5,"hiányzó pont",IF(OR(MIN(H11:L11)&lt;-3,MAX(H11:L11)&gt;3),"−3…+3 közé",IF(COUNTIF(H11:L11,"&gt;0")=0,"kell pozitív is",IF(COUNTIF(H11:L11,"&lt;0")=0,"kell negatív is","rendben"))))</f>
        <v/>
      </c>
    </row>
    <row r="12" ht="90" customHeight="1">
      <c r="A12" s="15" t="n"/>
      <c r="B12" s="16" t="n"/>
      <c r="C12" s="17" t="n"/>
      <c r="D12" s="15" t="inlineStr">
        <is>
          <t>C</t>
        </is>
      </c>
      <c r="E12" s="17" t="inlineStr">
        <is>
          <t>Rékát a helyén hagyod, de mellé teszel egy „segítőt”, aki valójában az ő munkáját figyeli. Így a vezérigazgató is elégedett, és Rékát sem kell leváltani.</t>
        </is>
      </c>
      <c r="F12" s="17" t="inlineStr">
        <is>
          <t>Önbeteljesítő jóslat</t>
        </is>
      </c>
      <c r="G12" s="17" t="inlineStr">
        <is>
          <t>Az önbeteljesítő jóslat — más néven Pygmalion-hatás — azt jelenti, hogy amit valakiről elvárunk, az a viselkedésünkön keresztül valóra is válik. Ha Réka érzi, hogy gyengének tartják, nagy eséllyel bizonytalanabbul és rosszabbul fog dolgozni. A kompromisszum mindenkit megnyugtat egy időre, de éppen azt a teljesítményt rontja, amelyet javítani akartál.</t>
        </is>
      </c>
      <c r="H12" s="18" t="n">
        <v>1</v>
      </c>
      <c r="I12" s="18" t="n">
        <v>-2</v>
      </c>
      <c r="J12" s="18" t="n">
        <v>-1</v>
      </c>
      <c r="K12" s="18" t="n">
        <v>0</v>
      </c>
      <c r="L12" s="18" t="n">
        <v>1</v>
      </c>
      <c r="M12" s="19">
        <f>ROUND(3*(0.22*H12+0.22*I12+0.2*J12+0.18*K12+0.18*L12),1)</f>
        <v/>
      </c>
      <c r="N12" s="20">
        <f>IF(COUNT(H12:L12)&lt;5,"hiányzó pont",IF(OR(MIN(H12:L12)&lt;-3,MAX(H12:L12)&gt;3),"−3…+3 közé",IF(COUNTIF(H12:L12,"&gt;0")=0,"kell pozitív is",IF(COUNTIF(H12:L12,"&lt;0")=0,"kell negatív is","rendben"))))</f>
        <v/>
      </c>
    </row>
    <row r="13" ht="90" customHeight="1">
      <c r="A13" s="15" t="n"/>
      <c r="B13" s="16" t="n"/>
      <c r="C13" s="17" t="n"/>
      <c r="D13" s="15" t="inlineStr">
        <is>
          <t>D</t>
        </is>
      </c>
      <c r="E13" s="17" t="inlineStr">
        <is>
          <t>Azt mondod a vezérigazgatónak, hogy két hét múlva adatokkal jössz vissza, és addig semmihez nem nyúlsz. Ő ezt nem szívesen hallja, de beleegyezik.</t>
        </is>
      </c>
      <c r="F13" s="17" t="inlineStr">
        <is>
          <t>Simon: a megértés szakasza</t>
        </is>
      </c>
      <c r="G13" s="17" t="inlineStr">
        <is>
          <t>Herbert Simon szerint a döntés három lépésből áll: megértés, tervezés, választás. A megértés a helyzetről szóló tudás összegyűjtését és rendezését jelenti, még a lehetőségek kidolgozása előtt. Két hetet nyertél arra, hogy tények alapján dönts Rékáról, de a vezérigazgató türelme véges, és a csapat addig bizonytalanságban dolgozik.</t>
        </is>
      </c>
      <c r="H13" s="18" t="n">
        <v>0</v>
      </c>
      <c r="I13" s="18" t="n">
        <v>1</v>
      </c>
      <c r="J13" s="18" t="n">
        <v>2</v>
      </c>
      <c r="K13" s="18" t="n">
        <v>1</v>
      </c>
      <c r="L13" s="18" t="n">
        <v>-1</v>
      </c>
      <c r="M13" s="19">
        <f>ROUND(3*(0.22*H13+0.22*I13+0.2*J13+0.18*K13+0.18*L13),1)</f>
        <v/>
      </c>
      <c r="N13" s="20">
        <f>IF(COUNT(H13:L13)&lt;5,"hiányzó pont",IF(OR(MIN(H13:L13)&lt;-3,MAX(H13:L13)&gt;3),"−3…+3 közé",IF(COUNTIF(H13:L13,"&gt;0")=0,"kell pozitív is",IF(COUNTIF(H13:L13,"&lt;0")=0,"kell negatív is","rendben"))))</f>
        <v/>
      </c>
    </row>
    <row r="14" ht="76" customHeight="1">
      <c r="A14" s="9" t="n">
        <v>4</v>
      </c>
      <c r="B14" s="10" t="inlineStr">
        <is>
          <t>Az aznapi ígéret</t>
        </is>
      </c>
      <c r="C14" s="11" t="inlineStr">
        <is>
          <t>Kiderül, hogy a hibák jó része abból fakad, hogy az értékesítés aznapi szállítást ígér a patikáknak, amit az üzemeltetés nem tud tartani. Csakhogy az értékesítők prémiuma éppen ezektől a megrendelésektől függ. Anita szabályt akar, Gábor azzal fenyeget, hogy a vezérigazgatóhoz megy.</t>
        </is>
      </c>
      <c r="D14" s="9" t="inlineStr">
        <is>
          <t>A</t>
        </is>
      </c>
      <c r="E14" s="11" t="inlineStr">
        <is>
          <t>Úgy döntesz, ez a két osztályvezető ügye: egyezzenek meg ők, te nem szólsz bele. Így senki nem mondhatja, hogy elfogult vagy.</t>
        </is>
      </c>
      <c r="F14" s="11" t="inlineStr">
        <is>
          <t>A döntés elhárítása</t>
        </is>
      </c>
      <c r="G14" s="11" t="inlineStr">
        <is>
          <t>A jegyzet a döntéshozói magatartások között írja le a döntés elhárítását: a vezető másokra hagyja a döntést, és a formális megoldást részesíti előnyben. Kívülről semlegesnek tűnsz, de a két osztályvezető között éppen az hiányzik, aki el tudná dönteni a vitát. A konfliktus valószínűleg a vezérigazgató asztalán köt ki — nélküled.</t>
        </is>
      </c>
      <c r="H14" s="12" t="n">
        <v>-1</v>
      </c>
      <c r="I14" s="12" t="n">
        <v>0</v>
      </c>
      <c r="J14" s="12" t="n">
        <v>-1</v>
      </c>
      <c r="K14" s="12" t="n">
        <v>-3</v>
      </c>
      <c r="L14" s="12" t="n">
        <v>2</v>
      </c>
      <c r="M14" s="13">
        <f>ROUND(3*(0.22*H14+0.22*I14+0.2*J14+0.18*K14+0.18*L14),1)</f>
        <v/>
      </c>
      <c r="N14" s="14">
        <f>IF(COUNT(H14:L14)&lt;5,"hiányzó pont",IF(OR(MIN(H14:L14)&lt;-3,MAX(H14:L14)&gt;3),"−3…+3 közé",IF(COUNTIF(H14:L14,"&gt;0")=0,"kell pozitív is",IF(COUNTIF(H14:L14,"&lt;0")=0,"kell negatív is","rendben"))))</f>
        <v/>
      </c>
    </row>
    <row r="15" ht="76" customHeight="1">
      <c r="A15" s="15" t="n"/>
      <c r="B15" s="16" t="n"/>
      <c r="C15" s="17" t="n"/>
      <c r="D15" s="15" t="inlineStr">
        <is>
          <t>B</t>
        </is>
      </c>
      <c r="E15" s="17" t="inlineStr">
        <is>
          <t>Közös megbeszélést tartasz az értékesítőkkel és az üzemeltetőkkel, ahol ők maguk rakják össze, mit lehet megígérni és mit nem. A szabály az övék lesz, de legalább két hétig tart.</t>
        </is>
      </c>
      <c r="F15" s="17" t="inlineStr">
        <is>
          <t>Részvételi létra</t>
        </is>
      </c>
      <c r="G15" s="17" t="inlineStr">
        <is>
          <t>A részvételi létra azt mutatja, mennyire valódi a bevonás: puszta tájékoztatás, meghallgatás vagy tényleges döntési jog. Te a létra felső fokán jártál, a szabályt az érintettek maguk alakítják ki. Ettől jobban be is tartják majd, de két hétig a régi gyakorlat fut tovább, és a patikalánc közben nem vár.</t>
        </is>
      </c>
      <c r="H15" s="18" t="n">
        <v>1</v>
      </c>
      <c r="I15" s="18" t="n">
        <v>2</v>
      </c>
      <c r="J15" s="18" t="n">
        <v>1</v>
      </c>
      <c r="K15" s="18" t="n">
        <v>-1</v>
      </c>
      <c r="L15" s="18" t="n">
        <v>3</v>
      </c>
      <c r="M15" s="19">
        <f>ROUND(3*(0.22*H15+0.22*I15+0.2*J15+0.18*K15+0.18*L15),1)</f>
        <v/>
      </c>
      <c r="N15" s="20">
        <f>IF(COUNT(H15:L15)&lt;5,"hiányzó pont",IF(OR(MIN(H15:L15)&lt;-3,MAX(H15:L15)&gt;3),"−3…+3 közé",IF(COUNTIF(H15:L15,"&gt;0")=0,"kell pozitív is",IF(COUNTIF(H15:L15,"&lt;0")=0,"kell negatív is","rendben"))))</f>
        <v/>
      </c>
    </row>
    <row r="16" ht="90" customHeight="1">
      <c r="A16" s="15" t="n"/>
      <c r="B16" s="16" t="n"/>
      <c r="C16" s="17" t="n"/>
      <c r="D16" s="15" t="inlineStr">
        <is>
          <t>C</t>
        </is>
      </c>
      <c r="E16" s="17" t="inlineStr">
        <is>
          <t>Megtartjátok az aznapi ígéretet, de az üzemeltetés kap három új embert, akiket az értékesítési prémiumkeretből fizettek. A szállítás tartható lesz, Gábor viszont dühös, mert az ő csapata fizeti a számlát.</t>
        </is>
      </c>
      <c r="F16" s="17" t="inlineStr">
        <is>
          <t>Mintzberg erőforrás-elosztó szerepe</t>
        </is>
      </c>
      <c r="G16" s="17" t="inlineStr">
        <is>
          <t>Mintzberg erőforrás-elosztó szerepében a vezető dönti el, hová kerül a pénz és az ember, és ezzel alapvetően befolyásolja az egységek teljesítményét. Átcsoportosítással olyan megoldást találtál, amely az ügyfélnek jó. Csakhogy a terhet egy olyan csapatra tetted, amely nem kérte, és ez a két osztály viszonyát hosszú távon megmérgezheti.</t>
        </is>
      </c>
      <c r="H16" s="18" t="n">
        <v>-1</v>
      </c>
      <c r="I16" s="18" t="n">
        <v>1</v>
      </c>
      <c r="J16" s="18" t="n">
        <v>2</v>
      </c>
      <c r="K16" s="18" t="n">
        <v>2</v>
      </c>
      <c r="L16" s="18" t="n">
        <v>-2</v>
      </c>
      <c r="M16" s="19">
        <f>ROUND(3*(0.22*H16+0.22*I16+0.2*J16+0.18*K16+0.18*L16),1)</f>
        <v/>
      </c>
      <c r="N16" s="20">
        <f>IF(COUNT(H16:L16)&lt;5,"hiányzó pont",IF(OR(MIN(H16:L16)&lt;-3,MAX(H16:L16)&gt;3),"−3…+3 közé",IF(COUNTIF(H16:L16,"&gt;0")=0,"kell pozitív is",IF(COUNTIF(H16:L16,"&lt;0")=0,"kell negatív is","rendben"))))</f>
        <v/>
      </c>
    </row>
    <row r="17" ht="76" customHeight="1">
      <c r="A17" s="15" t="n"/>
      <c r="B17" s="16" t="n"/>
      <c r="C17" s="17" t="n"/>
      <c r="D17" s="15" t="inlineStr">
        <is>
          <t>D</t>
        </is>
      </c>
      <c r="E17" s="17" t="inlineStr">
        <is>
          <t>Te húzod meg a határt: holnaptól nincs aznapi ígéret, kivétel nélkül. A hibák azonnal csökkennek, az értékesítők viszont a prémiumukat féltik.</t>
        </is>
      </c>
      <c r="F17" s="17" t="inlineStr">
        <is>
          <t>Mintzberg zavarelhárító szerepe</t>
        </is>
      </c>
      <c r="G17" s="17" t="inlineStr">
        <is>
          <t>Mintzberg zavarelhárító szerepében a vezető gyorsan lép, amikor valami akadozik a működésben. A határozott szabály azonnal megállítja a hibák egyik forrását. Mivel viszont az érintettek nélkül született, az értékesítők a maguk módján fogják kerülgetni, és a prémiumuk kérdése megoldatlan marad.</t>
        </is>
      </c>
      <c r="H17" s="18" t="n">
        <v>2</v>
      </c>
      <c r="I17" s="18" t="n">
        <v>1</v>
      </c>
      <c r="J17" s="18" t="n">
        <v>1</v>
      </c>
      <c r="K17" s="18" t="n">
        <v>2</v>
      </c>
      <c r="L17" s="18" t="n">
        <v>-3</v>
      </c>
      <c r="M17" s="19">
        <f>ROUND(3*(0.22*H17+0.22*I17+0.2*J17+0.18*K17+0.18*L17),1)</f>
        <v/>
      </c>
      <c r="N17" s="20">
        <f>IF(COUNT(H17:L17)&lt;5,"hiányzó pont",IF(OR(MIN(H17:L17)&lt;-3,MAX(H17:L17)&gt;3),"−3…+3 közé",IF(COUNTIF(H17:L17,"&gt;0")=0,"kell pozitív is",IF(COUNTIF(H17:L17,"&lt;0")=0,"kell negatív is","rendben"))))</f>
        <v/>
      </c>
    </row>
    <row r="18" ht="76" customHeight="1">
      <c r="A18" s="9" t="n">
        <v>5</v>
      </c>
      <c r="B18" s="10" t="inlineStr">
        <is>
          <t>A havi jelentés</t>
        </is>
      </c>
      <c r="C18" s="11" t="inlineStr">
        <is>
          <t>Elkészül az első havi jelentés a patikaláncnak. Két mutató javult, egy — a panaszok lezárásának ideje — viszont romlott. Közben kapsz egy lelkes levelet egy szegedi patikustól, aki szerint soha nem volt ilyen jó a kiszolgálás. A jelentés holnap reggel megy ki.</t>
        </is>
      </c>
      <c r="D18" s="9" t="inlineStr">
        <is>
          <t>A</t>
        </is>
      </c>
      <c r="E18" s="11" t="inlineStr">
        <is>
          <t>Még egy hétig nem küldöd el, hátha addigra a harmadik mutató is javul. Tudod, hogy a patikalánc a pontos határidőket is figyeli.</t>
        </is>
      </c>
      <c r="F18" s="11" t="inlineStr">
        <is>
          <t>A döntés halogatása</t>
        </is>
      </c>
      <c r="G18" s="11" t="inlineStr">
        <is>
          <t>A jegyzet a döntés halogatásának nevezi, amikor menekülünk a probléma elől, és kivárjuk, hogy a helyzet magától rendeződjön. Egy hét múlva talán jobb számokat küldhetsz. Addig viszont épp azt a megbízhatóságot sérted, amelyért a patikalánc harcol: hogy időben kapja meg, amit ígértek neki.</t>
        </is>
      </c>
      <c r="H18" s="12" t="n">
        <v>-3</v>
      </c>
      <c r="I18" s="12" t="n">
        <v>-1</v>
      </c>
      <c r="J18" s="12" t="n">
        <v>1</v>
      </c>
      <c r="K18" s="12" t="n">
        <v>-1</v>
      </c>
      <c r="L18" s="12" t="n">
        <v>0</v>
      </c>
      <c r="M18" s="13">
        <f>ROUND(3*(0.22*H18+0.22*I18+0.2*J18+0.18*K18+0.18*L18),1)</f>
        <v/>
      </c>
      <c r="N18" s="14">
        <f>IF(COUNT(H18:L18)&lt;5,"hiányzó pont",IF(OR(MIN(H18:L18)&lt;-3,MAX(H18:L18)&gt;3),"−3…+3 közé",IF(COUNTIF(H18:L18,"&gt;0")=0,"kell pozitív is",IF(COUNTIF(H18:L18,"&lt;0")=0,"kell negatív is","rendben"))))</f>
        <v/>
      </c>
    </row>
    <row r="19" ht="76" customHeight="1">
      <c r="A19" s="15" t="n"/>
      <c r="B19" s="16" t="n"/>
      <c r="C19" s="17" t="n"/>
      <c r="D19" s="15" t="inlineStr">
        <is>
          <t>B</t>
        </is>
      </c>
      <c r="E19" s="17" t="inlineStr">
        <is>
          <t>A számokat a tavaszi mélyponthoz hasonlítod, amikor minden mutató a legrosszabb volt. Így mindhárom javulásnak látszik, és semmi sem hamis benne.</t>
        </is>
      </c>
      <c r="F19" s="17" t="inlineStr">
        <is>
          <t>Kontraszt-hatás</t>
        </is>
      </c>
      <c r="G19" s="17" t="inlineStr">
        <is>
          <t>A kontraszt-hatás azt jelenti, hogy semmit nem ítélünk meg önmagában: mindig ahhoz mérjük, amivel előtte találkoztunk. Ha a tavaszi mélyponthoz viszonyítasz, minden javulásnak látszik. Egyik szám sem hamis, a kép mégis félrevezető, és ezt egy tapasztalt beszerzési vezető előbb-utóbb észre fogja venni.</t>
        </is>
      </c>
      <c r="H19" s="18" t="n">
        <v>1</v>
      </c>
      <c r="I19" s="18" t="n">
        <v>-2</v>
      </c>
      <c r="J19" s="18" t="n">
        <v>-1</v>
      </c>
      <c r="K19" s="18" t="n">
        <v>-1</v>
      </c>
      <c r="L19" s="18" t="n">
        <v>0</v>
      </c>
      <c r="M19" s="19">
        <f>ROUND(3*(0.22*H19+0.22*I19+0.2*J19+0.18*K19+0.18*L19),1)</f>
        <v/>
      </c>
      <c r="N19" s="20">
        <f>IF(COUNT(H19:L19)&lt;5,"hiányzó pont",IF(OR(MIN(H19:L19)&lt;-3,MAX(H19:L19)&gt;3),"−3…+3 közé",IF(COUNTIF(H19:L19,"&gt;0")=0,"kell pozitív is",IF(COUNTIF(H19:L19,"&lt;0")=0,"kell negatív is","rendben"))))</f>
        <v/>
      </c>
    </row>
    <row r="20" ht="76" customHeight="1">
      <c r="A20" s="15" t="n"/>
      <c r="B20" s="16" t="n"/>
      <c r="C20" s="17" t="n"/>
      <c r="D20" s="15" t="inlineStr">
        <is>
          <t>C</t>
        </is>
      </c>
      <c r="E20" s="17" t="inlineStr">
        <is>
          <t>A jelentés elejére a romló mutatót teszed, mellé pedig azt, mit csináltok vele. Tudod, hogy a patikalánc ettől idegesebb lesz, pont most, amikor kezd megnyugodni.</t>
        </is>
      </c>
      <c r="F20" s="17" t="inlineStr">
        <is>
          <t>Mintzberg szóvivő szerepe</t>
        </is>
      </c>
      <c r="G20" s="17" t="inlineStr">
        <is>
          <t>Mintzberg szóvivő szerepében a vezető a kívülállókat — ügyfeleket, partnereket — tájékoztatja a teljesítményről és a tervekről. Ha a rossz hírt te mondod el elsőként, megoldással együtt, a jó híreidnek is jobban hisznek majd. Most viszont egy olyan ügyfelet nyugtalanítasz, aki éppen kezdett megbékélni.</t>
        </is>
      </c>
      <c r="H20" s="18" t="n">
        <v>2</v>
      </c>
      <c r="I20" s="18" t="n">
        <v>3</v>
      </c>
      <c r="J20" s="18" t="n">
        <v>1</v>
      </c>
      <c r="K20" s="18" t="n">
        <v>2</v>
      </c>
      <c r="L20" s="18" t="n">
        <v>-1</v>
      </c>
      <c r="M20" s="19">
        <f>ROUND(3*(0.22*H20+0.22*I20+0.2*J20+0.18*K20+0.18*L20),1)</f>
        <v/>
      </c>
      <c r="N20" s="20">
        <f>IF(COUNT(H20:L20)&lt;5,"hiányzó pont",IF(OR(MIN(H20:L20)&lt;-3,MAX(H20:L20)&gt;3),"−3…+3 közé",IF(COUNTIF(H20:L20,"&gt;0")=0,"kell pozitív is",IF(COUNTIF(H20:L20,"&lt;0")=0,"kell negatív is","rendben"))))</f>
        <v/>
      </c>
    </row>
    <row r="21" ht="76" customHeight="1">
      <c r="A21" s="15" t="n"/>
      <c r="B21" s="16" t="n"/>
      <c r="C21" s="17" t="n"/>
      <c r="D21" s="15" t="inlineStr">
        <is>
          <t>D</t>
        </is>
      </c>
      <c r="E21" s="17" t="inlineStr">
        <is>
          <t>A jelentés elejére a szegedi patikus levelét teszed. Ez valódi visszajelzés, és jó hangulatot teremt a többi számhoz.</t>
        </is>
      </c>
      <c r="F21" s="17" t="inlineStr">
        <is>
          <t>Halo-effektus</t>
        </is>
      </c>
      <c r="G21" s="17" t="inlineStr">
        <is>
          <t>A halo-effektus azt jelenti, hogy egyetlen kiemelkedő jellemző alapján alakul ki az általános benyomás. Egy lelkes levél az elején az egész jelentést jobb fénybe helyezi, még a romló mutatót is. A levél igaz, de nem reprezentatív, és ha az ügyfél később rájön, hogyan volt összerakva a jelentés, a következőnek már nem fog hinni.</t>
        </is>
      </c>
      <c r="H21" s="18" t="n">
        <v>1</v>
      </c>
      <c r="I21" s="18" t="n">
        <v>-3</v>
      </c>
      <c r="J21" s="18" t="n">
        <v>-1</v>
      </c>
      <c r="K21" s="18" t="n">
        <v>-1</v>
      </c>
      <c r="L21" s="18" t="n">
        <v>1</v>
      </c>
      <c r="M21" s="19">
        <f>ROUND(3*(0.22*H21+0.22*I21+0.2*J21+0.18*K21+0.18*L21),1)</f>
        <v/>
      </c>
      <c r="N21" s="20">
        <f>IF(COUNT(H21:L21)&lt;5,"hiányzó pont",IF(OR(MIN(H21:L21)&lt;-3,MAX(H21:L21)&gt;3),"−3…+3 közé",IF(COUNTIF(H21:L21,"&gt;0")=0,"kell pozitív is",IF(COUNTIF(H21:L21,"&lt;0")=0,"kell negatív is","rendben"))))</f>
        <v/>
      </c>
    </row>
    <row r="22" ht="76" customHeight="1">
      <c r="A22" s="9" t="n">
        <v>6</v>
      </c>
      <c r="B22" s="10" t="inlineStr">
        <is>
          <t>Réka ötlete</t>
        </is>
      </c>
      <c r="C22" s="11" t="inlineStr">
        <is>
          <t>Réka új ötlettel jön: egy automatikus csevegőprogram, amely a patikák kérdéseinek negyven százalékára maga válaszolna. Az informatika szerint hat hét a bevezetés — a határidőig hét hét van hátra. A biztosabb, de drágább út a nyitvatartás meghosszabbítása túlórával. A pénz mindkettőre nem elég.</t>
        </is>
      </c>
      <c r="D22" s="9" t="inlineStr">
        <is>
          <t>A</t>
        </is>
      </c>
      <c r="E22" s="11" t="inlineStr">
        <is>
          <t>Mindkettőt elindítod teljes erővel: a csevegőprogramot is, a túlórát is. A pénzt majd valahogy előteremted, a határidő fontosabb.</t>
        </is>
      </c>
      <c r="F22" s="11" t="inlineStr">
        <is>
          <t>Hamisan pozitív hiba</t>
        </is>
      </c>
      <c r="G22" s="11" t="inlineStr">
        <is>
          <t>James March hamisan pozitív hibának nevezi, amikor a döntéshozó olyan kontrollban hisz, amely a valóságban nincs meg. A „majd valahogy előteremtem” éppen ilyen hit. Rövid távon mindkét úton haladsz, de ha a pénz nem lesz meg, mindkettő félbemarad, és a csapat kétszer annyi munkával ér el feleannyit.</t>
        </is>
      </c>
      <c r="H22" s="12" t="n">
        <v>-2</v>
      </c>
      <c r="I22" s="12" t="n">
        <v>-1</v>
      </c>
      <c r="J22" s="12" t="n">
        <v>-2</v>
      </c>
      <c r="K22" s="12" t="n">
        <v>2</v>
      </c>
      <c r="L22" s="12" t="n">
        <v>1</v>
      </c>
      <c r="M22" s="13">
        <f>ROUND(3*(0.22*H22+0.22*I22+0.2*J22+0.18*K22+0.18*L22),1)</f>
        <v/>
      </c>
      <c r="N22" s="14">
        <f>IF(COUNT(H22:L22)&lt;5,"hiányzó pont",IF(OR(MIN(H22:L22)&lt;-3,MAX(H22:L22)&gt;3),"−3…+3 közé",IF(COUNTIF(H22:L22,"&gt;0")=0,"kell pozitív is",IF(COUNTIF(H22:L22,"&lt;0")=0,"kell negatív is","rendben"))))</f>
        <v/>
      </c>
    </row>
    <row r="23" ht="90" customHeight="1">
      <c r="A23" s="15" t="n"/>
      <c r="B23" s="16" t="n"/>
      <c r="C23" s="17" t="n"/>
      <c r="D23" s="15" t="inlineStr">
        <is>
          <t>B</t>
        </is>
      </c>
      <c r="E23" s="17" t="inlineStr">
        <is>
          <t>Rábólintasz Réka ötletére: ő ismeri a legjobban a patikák kérdéseit, és ő is fogja végigvinni. Te a háttérből támogatod.</t>
        </is>
      </c>
      <c r="F23" s="17" t="inlineStr">
        <is>
          <t>Szakértői döntéshozatal</t>
        </is>
      </c>
      <c r="G23" s="17" t="inlineStr">
        <is>
          <t>A jegyzet csoportos döntési modelljei között szerepel a szakértői döntés: a csoport azt a tagját hagyja dönteni, aki a kérdésben a legjáratosabb. Réka tényleg ismeri a patikákat, és a bizalmad erőt ad neki. A modell hátránya, hogy nincs mellette ellenőrzés, és ha a program csúszik, egyetlen ember döntésén áll vagy bukik az egész.</t>
        </is>
      </c>
      <c r="H23" s="18" t="n">
        <v>1</v>
      </c>
      <c r="I23" s="18" t="n">
        <v>0</v>
      </c>
      <c r="J23" s="18" t="n">
        <v>-1</v>
      </c>
      <c r="K23" s="18" t="n">
        <v>-1</v>
      </c>
      <c r="L23" s="18" t="n">
        <v>3</v>
      </c>
      <c r="M23" s="19">
        <f>ROUND(3*(0.22*H23+0.22*I23+0.2*J23+0.18*K23+0.18*L23),1)</f>
        <v/>
      </c>
      <c r="N23" s="20">
        <f>IF(COUNT(H23:L23)&lt;5,"hiányzó pont",IF(OR(MIN(H23:L23)&lt;-3,MAX(H23:L23)&gt;3),"−3…+3 közé",IF(COUNTIF(H23:L23,"&gt;0")=0,"kell pozitív is",IF(COUNTIF(H23:L23,"&lt;0")=0,"kell negatív is","rendben"))))</f>
        <v/>
      </c>
    </row>
    <row r="24" ht="76" customHeight="1">
      <c r="A24" s="15" t="n"/>
      <c r="B24" s="16" t="n"/>
      <c r="C24" s="17" t="n"/>
      <c r="D24" s="15" t="inlineStr">
        <is>
          <t>C</t>
        </is>
      </c>
      <c r="E24" s="17" t="inlineStr">
        <is>
          <t>Leírsz három lehetőséget — a csevegőprogramot, a hosszabb nyitvatartást és a kettő kisebb változatát —, és mindegyiknél végiggondolod, mi történik, ha csúszik. Ez két nap, és Réka türelmetlen.</t>
        </is>
      </c>
      <c r="F24" s="17" t="inlineStr">
        <is>
          <t>Simon: a tervezés szakasza</t>
        </is>
      </c>
      <c r="G24" s="17" t="inlineStr">
        <is>
          <t>Herbert Simon második döntési lépése a tervezés: a lehetséges cselekvési utak összegyűjtése és a várható következmények kiértékelése. Azzal, hogy a „mi van, ha csúszik” kérdést minden lehetőségnél feltetted, a kockázat láthatóvá vált. Két napot vesztesz, és Réka úgy érezheti, nem bízol benne.</t>
        </is>
      </c>
      <c r="H24" s="18" t="n">
        <v>0</v>
      </c>
      <c r="I24" s="18" t="n">
        <v>2</v>
      </c>
      <c r="J24" s="18" t="n">
        <v>3</v>
      </c>
      <c r="K24" s="18" t="n">
        <v>1</v>
      </c>
      <c r="L24" s="18" t="n">
        <v>-1</v>
      </c>
      <c r="M24" s="19">
        <f>ROUND(3*(0.22*H24+0.22*I24+0.2*J24+0.18*K24+0.18*L24),1)</f>
        <v/>
      </c>
      <c r="N24" s="20">
        <f>IF(COUNT(H24:L24)&lt;5,"hiányzó pont",IF(OR(MIN(H24:L24)&lt;-3,MAX(H24:L24)&gt;3),"−3…+3 közé",IF(COUNTIF(H24:L24,"&gt;0")=0,"kell pozitív is",IF(COUNTIF(H24:L24,"&lt;0")=0,"kell negatív is","rendben"))))</f>
        <v/>
      </c>
    </row>
    <row r="25" ht="76" customHeight="1">
      <c r="A25" s="15" t="n"/>
      <c r="B25" s="16" t="n"/>
      <c r="C25" s="17" t="n"/>
      <c r="D25" s="15" t="inlineStr">
        <is>
          <t>D</t>
        </is>
      </c>
      <c r="E25" s="17" t="inlineStr">
        <is>
          <t>A biztosat választod: hosszabb nyitvatartás, túlórával. Tudod, hogy ez működni fog, csak a csapat még jobban elfárad.</t>
        </is>
      </c>
      <c r="F25" s="17" t="inlineStr">
        <is>
          <t>Korlátozott racionalitás, kielégítő döntés</t>
        </is>
      </c>
      <c r="G25" s="17" t="inlineStr">
        <is>
          <t>Simon szerint a valóságban nem az optimális, hanem az első elfogadható megoldást választjuk, mert az idő és az információ is korlátozott. A túlóra biztosan elég lesz a határidőig, és ez jogos szempont. A költséget viszont egy már kimerült csapat fizeti meg, és a határidő után semmi nem marad, ami tartósan javítaná a helyzetet.</t>
        </is>
      </c>
      <c r="H25" s="18" t="n">
        <v>2</v>
      </c>
      <c r="I25" s="18" t="n">
        <v>1</v>
      </c>
      <c r="J25" s="18" t="n">
        <v>-1</v>
      </c>
      <c r="K25" s="18" t="n">
        <v>1</v>
      </c>
      <c r="L25" s="18" t="n">
        <v>-2</v>
      </c>
      <c r="M25" s="19">
        <f>ROUND(3*(0.22*H25+0.22*I25+0.2*J25+0.18*K25+0.18*L25),1)</f>
        <v/>
      </c>
      <c r="N25" s="20">
        <f>IF(COUNT(H25:L25)&lt;5,"hiányzó pont",IF(OR(MIN(H25:L25)&lt;-3,MAX(H25:L25)&gt;3),"−3…+3 közé",IF(COUNTIF(H25:L25,"&gt;0")=0,"kell pozitív is",IF(COUNTIF(H25:L25,"&lt;0")=0,"kell negatív is","rendben"))))</f>
        <v/>
      </c>
    </row>
    <row r="26" ht="90" customHeight="1">
      <c r="A26" s="9" t="n">
        <v>7</v>
      </c>
      <c r="B26" s="10" t="inlineStr">
        <is>
          <t>Tízből egy rossz válasz</t>
        </is>
      </c>
      <c r="C26" s="11" t="inlineStr">
        <is>
          <t>A hatodik héten a csevegőprogram elkészül. A tesztek szerint minden tizedik kérdésre rossz választ ad — például téves nyitvatartást mond egy patikáról. Ha most nem indul el, a határidőig már nem fog. A szerverteremben az informatikusok rád néznek.</t>
        </is>
      </c>
      <c r="D26" s="9" t="inlineStr">
        <is>
          <t>A</t>
        </is>
      </c>
      <c r="E26" s="11" t="inlineStr">
        <is>
          <t>Nem indítjátok el, amíg a hibaarány egy százalék alá nem megy. Egy rossz nyitvatartási adat egy betegnek komoly gondot okozhat, még ha így lekésitek is a határidőt.</t>
        </is>
      </c>
      <c r="F26" s="11" t="inlineStr">
        <is>
          <t>Jól és rosszul strukturált döntés</t>
        </is>
      </c>
      <c r="G26" s="11" t="inlineStr">
        <is>
          <t>Simon szerint a jól strukturált döntésnél világos, mi a probléma, a rosszul strukturáltnál viszont ez sem egyértelmű. Egy egyszázalékos küszöbbel jól strukturált, műszaki kérdéssé alakítottad az indítást. Csakhogy a valódi kérdés az, mit tart fontosabbnak az ügyfél: a pontos határidőt vagy a hibátlanságot — és ezt nem kérdezted meg tőle.</t>
        </is>
      </c>
      <c r="H26" s="12" t="n">
        <v>-2</v>
      </c>
      <c r="I26" s="12" t="n">
        <v>1</v>
      </c>
      <c r="J26" s="12" t="n">
        <v>1</v>
      </c>
      <c r="K26" s="12" t="n">
        <v>2</v>
      </c>
      <c r="L26" s="12" t="n">
        <v>-1</v>
      </c>
      <c r="M26" s="13">
        <f>ROUND(3*(0.22*H26+0.22*I26+0.2*J26+0.18*K26+0.18*L26),1)</f>
        <v/>
      </c>
      <c r="N26" s="14">
        <f>IF(COUNT(H26:L26)&lt;5,"hiányzó pont",IF(OR(MIN(H26:L26)&lt;-3,MAX(H26:L26)&gt;3),"−3…+3 közé",IF(COUNTIF(H26:L26,"&gt;0")=0,"kell pozitív is",IF(COUNTIF(H26:L26,"&lt;0")=0,"kell negatív is","rendben"))))</f>
        <v/>
      </c>
    </row>
    <row r="27" ht="76" customHeight="1">
      <c r="A27" s="15" t="n"/>
      <c r="B27" s="16" t="n"/>
      <c r="C27" s="17" t="n"/>
      <c r="D27" s="15" t="inlineStr">
        <is>
          <t>B</t>
        </is>
      </c>
      <c r="E27" s="17" t="inlineStr">
        <is>
          <t>Csak tíz patikában indítjátok el, próbaképp. A patikalánc egésze így nem látja az eredményt a határidőre, de a hibák kis körben maradnak.</t>
        </is>
      </c>
      <c r="F27" s="17" t="inlineStr">
        <is>
          <t>Inkrementalizmus (átevickélés)</t>
        </is>
      </c>
      <c r="G27" s="17" t="inlineStr">
        <is>
          <t>Az inkrementalizmus a nagy, egyszeri lépések helyett kis, fokozatos korrekciókat jelent, amelyekből menet közben tanulni lehet. A próbaüzem kicsiben mutatja meg, mi működik és mi nem. A határidőre viszont nem lesz látványos eredmény, és a patikalánc ezt könnyen óvatoskodásnak láthatja.</t>
        </is>
      </c>
      <c r="H27" s="18" t="n">
        <v>-1</v>
      </c>
      <c r="I27" s="18" t="n">
        <v>1</v>
      </c>
      <c r="J27" s="18" t="n">
        <v>2</v>
      </c>
      <c r="K27" s="18" t="n">
        <v>0</v>
      </c>
      <c r="L27" s="18" t="n">
        <v>1</v>
      </c>
      <c r="M27" s="19">
        <f>ROUND(3*(0.22*H27+0.22*I27+0.2*J27+0.18*K27+0.18*L27),1)</f>
        <v/>
      </c>
      <c r="N27" s="20">
        <f>IF(COUNT(H27:L27)&lt;5,"hiányzó pont",IF(OR(MIN(H27:L27)&lt;-3,MAX(H27:L27)&gt;3),"−3…+3 közé",IF(COUNTIF(H27:L27,"&gt;0")=0,"kell pozitív is",IF(COUNTIF(H27:L27,"&lt;0")=0,"kell negatív is","rendben"))))</f>
        <v/>
      </c>
    </row>
    <row r="28" ht="76" customHeight="1">
      <c r="A28" s="15" t="n"/>
      <c r="B28" s="16" t="n"/>
      <c r="C28" s="17" t="n"/>
      <c r="D28" s="15" t="inlineStr">
        <is>
          <t>C</t>
        </is>
      </c>
      <c r="E28" s="17" t="inlineStr">
        <is>
          <t>Mindenhol elindítjátok, a hibákat menet közben javítjátok. A határidő tartható, és a patikalánc végre valami nagyot lát.</t>
        </is>
      </c>
      <c r="F28" s="17" t="inlineStr">
        <is>
          <t>Diszkontálás</t>
        </is>
      </c>
      <c r="G28" s="17" t="inlineStr">
        <is>
          <t>A diszkontálás az a hajlamunk, hogy a közeli dolgokat felértékeljük, a távolabbiakat leértékeljük. A határidő itt van előtted, a rossz válaszok okozta bosszúság viszont csak később, szétszórva jelentkezik. A határidőt tartod, de ha a hibák összeadódnak, éppen a megbízhatóságot sérted, amiért az egész munka indult.</t>
        </is>
      </c>
      <c r="H28" s="18" t="n">
        <v>2</v>
      </c>
      <c r="I28" s="18" t="n">
        <v>-1</v>
      </c>
      <c r="J28" s="18" t="n">
        <v>-2</v>
      </c>
      <c r="K28" s="18" t="n">
        <v>-1</v>
      </c>
      <c r="L28" s="18" t="n">
        <v>-1</v>
      </c>
      <c r="M28" s="19">
        <f>ROUND(3*(0.22*H28+0.22*I28+0.2*J28+0.18*K28+0.18*L28),1)</f>
        <v/>
      </c>
      <c r="N28" s="20">
        <f>IF(COUNT(H28:L28)&lt;5,"hiányzó pont",IF(OR(MIN(H28:L28)&lt;-3,MAX(H28:L28)&gt;3),"−3…+3 közé",IF(COUNTIF(H28:L28,"&gt;0")=0,"kell pozitív is",IF(COUNTIF(H28:L28,"&lt;0")=0,"kell negatív is","rendben"))))</f>
        <v/>
      </c>
    </row>
    <row r="29" ht="90" customHeight="1">
      <c r="A29" s="15" t="n"/>
      <c r="B29" s="16" t="n"/>
      <c r="C29" s="17" t="n"/>
      <c r="D29" s="15" t="inlineStr">
        <is>
          <t>D</t>
        </is>
      </c>
      <c r="E29" s="17" t="inlineStr">
        <is>
          <t>Elindítjátok, de minden válasz alatt ott a gomb: „Kérem, hívjon vissza egy munkatárs.” Így a hibás válaszok egy része is ember elé kerül, csak kicsit később.</t>
        </is>
      </c>
      <c r="F29" s="17" t="inlineStr">
        <is>
          <t>Snowden–Boone: komplex helyzet</t>
        </is>
      </c>
      <c r="G29" s="17" t="inlineStr">
        <is>
          <t>Snowden és Boone szerint komplex helyzetben nincs előre biztos válasz: olyan lépéseket kell tenni, amelyekből tanulni lehet, és amelyek kudarca nem végzetes. A visszahívás gomb ilyen biztonsági háló: a program élesben tanul, a hibáit pedig ember fogja meg. Ennek ára, hogy néhány rossz válasz így is eljut a patikákhoz, és a csapatra plusz munka hárul.</t>
        </is>
      </c>
      <c r="H29" s="18" t="n">
        <v>1</v>
      </c>
      <c r="I29" s="18" t="n">
        <v>2</v>
      </c>
      <c r="J29" s="18" t="n">
        <v>2</v>
      </c>
      <c r="K29" s="18" t="n">
        <v>1</v>
      </c>
      <c r="L29" s="18" t="n">
        <v>-1</v>
      </c>
      <c r="M29" s="19">
        <f>ROUND(3*(0.22*H29+0.22*I29+0.2*J29+0.18*K29+0.18*L29),1)</f>
        <v/>
      </c>
      <c r="N29" s="20">
        <f>IF(COUNT(H29:L29)&lt;5,"hiányzó pont",IF(OR(MIN(H29:L29)&lt;-3,MAX(H29:L29)&gt;3),"−3…+3 közé",IF(COUNTIF(H29:L29,"&gt;0")=0,"kell pozitív is",IF(COUNTIF(H29:L29,"&lt;0")=0,"kell negatív is","rendben"))))</f>
        <v/>
      </c>
    </row>
    <row r="30" ht="76" customHeight="1">
      <c r="A30" s="9" t="n">
        <v>8</v>
      </c>
      <c r="B30" s="10" t="inlineStr">
        <is>
          <t>Három ajánlat</t>
        </is>
      </c>
      <c r="C30" s="11" t="inlineStr">
        <is>
          <t>A tizedik héten a patikalánc visszaír: maradnának, de két lehetőséget kínálnak — hároméves szerződés tizenöt százalék árengedménnyel, vagy egyéves szerződés a mostani áron, szigorú kötbérrel. Gábor közben két kisebb ügyfelet is felhozott, akik együtt pótolhatnák a patikaláncot, ha elengednétek. Holnapig kell válaszolni. A tárgyalóban ott ül veled a pénzügyi igazgató és Gábor.</t>
        </is>
      </c>
      <c r="D30" s="9" t="inlineStr">
        <is>
          <t>A</t>
        </is>
      </c>
      <c r="E30" s="11" t="inlineStr">
        <is>
          <t>Holnap reggel a csapatodat is megkérdezed: nekik kell majd teljesíteniük, akármelyik mellett döntötök. Tudod, hogy a hír így kiszivároghat a tárgyalás előtt.</t>
        </is>
      </c>
      <c r="F30" s="11" t="inlineStr">
        <is>
          <t>Konzultatív döntéshozatal</t>
        </is>
      </c>
      <c r="G30" s="11" t="inlineStr">
        <is>
          <t>A jegyzet csoportos döntési modelljei közül a konzultatív döntésnél a vezető meghallgatja a csoport véleményét, de a döntést ő hozza meg. A csapat tudja, mit bír el, és ha megkérdezed, a végrehajtásban is jobban kitart melletted. Az ára az idő, és az, hogy egy érzékeny tárgyalási pozíció több ember kezébe kerül.</t>
        </is>
      </c>
      <c r="H30" s="12" t="n">
        <v>-1</v>
      </c>
      <c r="I30" s="12" t="n">
        <v>2</v>
      </c>
      <c r="J30" s="12" t="n">
        <v>1</v>
      </c>
      <c r="K30" s="12" t="n">
        <v>1</v>
      </c>
      <c r="L30" s="12" t="n">
        <v>3</v>
      </c>
      <c r="M30" s="13">
        <f>ROUND(3*(0.22*H30+0.22*I30+0.2*J30+0.18*K30+0.18*L30),1)</f>
        <v/>
      </c>
      <c r="N30" s="14">
        <f>IF(COUNT(H30:L30)&lt;5,"hiányzó pont",IF(OR(MIN(H30:L30)&lt;-3,MAX(H30:L30)&gt;3),"−3…+3 közé",IF(COUNTIF(H30:L30,"&gt;0")=0,"kell pozitív is",IF(COUNTIF(H30:L30,"&lt;0")=0,"kell negatív is","rendben"))))</f>
        <v/>
      </c>
    </row>
    <row r="31" ht="90" customHeight="1">
      <c r="A31" s="15" t="n"/>
      <c r="B31" s="16" t="n"/>
      <c r="C31" s="17" t="n"/>
      <c r="D31" s="15" t="inlineStr">
        <is>
          <t>B</t>
        </is>
      </c>
      <c r="E31" s="17" t="inlineStr">
        <is>
          <t>A hároméves szerződést választod: az elmúlt hónapok után a biztonság a legfontosabb, még ha kevesebb is a haszon.</t>
        </is>
      </c>
      <c r="F31" s="17" t="inlineStr">
        <is>
          <t>Utólagossági hatás</t>
        </is>
      </c>
      <c r="G31" s="17" t="inlineStr">
        <is>
          <t>Az utólagossági hatás azt jelenti, hogy a legfrissebb, legélénkebb élmény köré szervezzük a megítélést. A majdnem elveszített ügyfél emléke olyan erős, hogy minden mást a biztonság mögé soroltál. Ez érthető és védhető, de három évre olcsóbban kötöd le a cég legnagyobb bevételét, és a csapatnak ugyanazt kell nyújtania kevesebb pénzért.</t>
        </is>
      </c>
      <c r="H31" s="18" t="n">
        <v>2</v>
      </c>
      <c r="I31" s="18" t="n">
        <v>1</v>
      </c>
      <c r="J31" s="18" t="n">
        <v>-1</v>
      </c>
      <c r="K31" s="18" t="n">
        <v>1</v>
      </c>
      <c r="L31" s="18" t="n">
        <v>-2</v>
      </c>
      <c r="M31" s="19">
        <f>ROUND(3*(0.22*H31+0.22*I31+0.2*J31+0.18*K31+0.18*L31),1)</f>
        <v/>
      </c>
      <c r="N31" s="20">
        <f>IF(COUNT(H31:L31)&lt;5,"hiányzó pont",IF(OR(MIN(H31:L31)&lt;-3,MAX(H31:L31)&gt;3),"−3…+3 közé",IF(COUNTIF(H31:L31,"&gt;0")=0,"kell pozitív is",IF(COUNTIF(H31:L31,"&lt;0")=0,"kell negatív is","rendben"))))</f>
        <v/>
      </c>
    </row>
    <row r="32" ht="76" customHeight="1">
      <c r="A32" s="15" t="n"/>
      <c r="B32" s="16" t="n"/>
      <c r="C32" s="17" t="n"/>
      <c r="D32" s="15" t="inlineStr">
        <is>
          <t>C</t>
        </is>
      </c>
      <c r="E32" s="17" t="inlineStr">
        <is>
          <t>Egymás mellé teszitek a három lehetőséget bevétel, kockázat, a csapat terhelése és a hosszú távú kapcsolat szerint, és először megnézitek, van-e olyan, amelyik mindenben rosszabb valamelyik másiknál. Ez éjfélig tart.</t>
        </is>
      </c>
      <c r="F32" s="17" t="inlineStr">
        <is>
          <t>Dominancia elve</t>
        </is>
      </c>
      <c r="G32" s="17" t="inlineStr">
        <is>
          <t>A dominancia elve szerint ha egy lehetőség semmiben nem jobb egy másiknál, és legalább egy szempontból rosszabb, kihúzhatjuk, mielőtt a nehéz mérlegelésbe kezdenénk. Ez leszűkíti a döntést a valódi versenyzőkre. Maga a választás — mennyi kockázatot ér meg a nagyobb haszon — így is a tiéd marad, és az éjszaka is rámegy.</t>
        </is>
      </c>
      <c r="H32" s="18" t="n">
        <v>1</v>
      </c>
      <c r="I32" s="18" t="n">
        <v>2</v>
      </c>
      <c r="J32" s="18" t="n">
        <v>3</v>
      </c>
      <c r="K32" s="18" t="n">
        <v>1</v>
      </c>
      <c r="L32" s="18" t="n">
        <v>-1</v>
      </c>
      <c r="M32" s="19">
        <f>ROUND(3*(0.22*H32+0.22*I32+0.2*J32+0.18*K32+0.18*L32),1)</f>
        <v/>
      </c>
      <c r="N32" s="20">
        <f>IF(COUNT(H32:L32)&lt;5,"hiányzó pont",IF(OR(MIN(H32:L32)&lt;-3,MAX(H32:L32)&gt;3),"−3…+3 közé",IF(COUNTIF(H32:L32,"&gt;0")=0,"kell pozitív is",IF(COUNTIF(H32:L32,"&lt;0")=0,"kell negatív is","rendben"))))</f>
        <v/>
      </c>
    </row>
    <row r="33" ht="76" customHeight="1">
      <c r="A33" s="15" t="n"/>
      <c r="B33" s="16" t="n"/>
      <c r="C33" s="17" t="n"/>
      <c r="D33" s="15" t="inlineStr">
        <is>
          <t>D</t>
        </is>
      </c>
      <c r="E33" s="17" t="inlineStr">
        <is>
          <t>A pénzügyi igazgatóra bízod a döntést: ő látja a legjobban a számokat, és a tulajdonosok is az ő szavára hallgatnak.</t>
        </is>
      </c>
      <c r="F33" s="17" t="inlineStr">
        <is>
          <t>Ezredes-hatás</t>
        </is>
      </c>
      <c r="G33" s="17" t="inlineStr">
        <is>
          <t>Az ezredes-hatás az a hajlamunk, hogy a magas beosztású vagy nagy tekintélyű emberek szavát hitelesebbnek tartjuk. A pénzügyi igazgató tényleg jól látja a számokat, de a csapat terhelését és az ügyfélkapcsolatot nem ő ismeri a legjobban. A döntés szakszerű lesz, a felelősség viszont kicsúszik a kezedből.</t>
        </is>
      </c>
      <c r="H33" s="18" t="n">
        <v>1</v>
      </c>
      <c r="I33" s="18" t="n">
        <v>0</v>
      </c>
      <c r="J33" s="18" t="n">
        <v>1</v>
      </c>
      <c r="K33" s="18" t="n">
        <v>-3</v>
      </c>
      <c r="L33" s="18" t="n">
        <v>-1</v>
      </c>
      <c r="M33" s="19">
        <f>ROUND(3*(0.22*H33+0.22*I33+0.2*J33+0.18*K33+0.18*L33),1)</f>
        <v/>
      </c>
      <c r="N33" s="20">
        <f>IF(COUNT(H33:L33)&lt;5,"hiányzó pont",IF(OR(MIN(H33:L33)&lt;-3,MAX(H33:L33)&gt;3),"−3…+3 közé",IF(COUNTIF(H33:L33,"&gt;0")=0,"kell pozitív is",IF(COUNTIF(H33:L33,"&lt;0")=0,"kell negatív is","rendben"))))</f>
        <v/>
      </c>
    </row>
    <row r="34" ht="76" customHeight="1">
      <c r="A34" s="9" t="n">
        <v>9</v>
      </c>
      <c r="B34" s="10" t="inlineStr">
        <is>
          <t>Negyed tizenkettő</t>
        </is>
      </c>
      <c r="C34" s="11" t="inlineStr">
        <is>
          <t>Az aláírás előtti éjjel negyed tizenkettőkor felhív az ügyeletes informatikus. A csevegőprogram egy beállítási hiba miatt három órán át mások számára is láthatóvá tette kétezer patikai vásárló adatait, köztük gyógyszerneveket. A hibát már kijavították, kívülről senki nem tud róla. Az aláírás reggel tízkor lesz, és a cég bevételének negyede múlik rajta.</t>
        </is>
      </c>
      <c r="D34" s="9" t="inlineStr">
        <is>
          <t>A</t>
        </is>
      </c>
      <c r="E34" s="11" t="inlineStr">
        <is>
          <t>Még éjjel felhívod a vezérigazgatót, reggel pedig — az aláírás előtt — elmondjátok a patikaláncnak. Tudod, hogy ezzel a szerződés is elveszhet.</t>
        </is>
      </c>
      <c r="F34" s="11" t="inlineStr">
        <is>
          <t>Moralitás detektor: napfény teszt</t>
        </is>
      </c>
      <c r="G34" s="11" t="inlineStr">
        <is>
          <t>A napfény teszt egyetlen kérdés: jól érezném magam, ha ez a döntés minden részletével együtt nyilvánosságra kerülne? Ha az ügyfél utólag tudja meg, hogy az aláíráskor már ismerted a hibát, azt nem fogod tudni megmagyarázni. Az őszinteség ára lehet a szerződés — és vele az állások egy része.</t>
        </is>
      </c>
      <c r="H34" s="12" t="n">
        <v>2</v>
      </c>
      <c r="I34" s="12" t="n">
        <v>3</v>
      </c>
      <c r="J34" s="12" t="n">
        <v>1</v>
      </c>
      <c r="K34" s="12" t="n">
        <v>3</v>
      </c>
      <c r="L34" s="12" t="n">
        <v>-2</v>
      </c>
      <c r="M34" s="13">
        <f>ROUND(3*(0.22*H34+0.22*I34+0.2*J34+0.18*K34+0.18*L34),1)</f>
        <v/>
      </c>
      <c r="N34" s="14">
        <f>IF(COUNT(H34:L34)&lt;5,"hiányzó pont",IF(OR(MIN(H34:L34)&lt;-3,MAX(H34:L34)&gt;3),"−3…+3 közé",IF(COUNTIF(H34:L34,"&gt;0")=0,"kell pozitív is",IF(COUNTIF(H34:L34,"&lt;0")=0,"kell negatív is","rendben"))))</f>
        <v/>
      </c>
    </row>
    <row r="35" ht="90" customHeight="1">
      <c r="A35" s="15" t="n"/>
      <c r="B35" s="16" t="n"/>
      <c r="C35" s="17" t="n"/>
      <c r="D35" s="15" t="inlineStr">
        <is>
          <t>B</t>
        </is>
      </c>
      <c r="E35" s="17" t="inlineStr">
        <is>
          <t>Reggelig nem szólsz senkinek: egyedül, az informatikussal kivizsgáljátok, pontosan kiket érintett a hiba, és csak utána döntesz a bejelentésről.</t>
        </is>
      </c>
      <c r="F35" s="17" t="inlineStr">
        <is>
          <t>Autokratikus döntés</t>
        </is>
      </c>
      <c r="G35" s="17" t="inlineStr">
        <is>
          <t>Az autokratikus döntésnél a vezető egyedül dönt, mások minimális közreműködésével. A jegyzet szerint ez válsághelyzetben, időhiányban indokolt lehet, és most valóban nincs idő hosszú egyeztetésre. A kockázat az, hogy egyedül viszel egy olyan terhet, amelyről a vezérigazgatónak is tudnia kellene, és reggelre már csak kevés lehetőség marad.</t>
        </is>
      </c>
      <c r="H35" s="18" t="n">
        <v>0</v>
      </c>
      <c r="I35" s="18" t="n">
        <v>-2</v>
      </c>
      <c r="J35" s="18" t="n">
        <v>2</v>
      </c>
      <c r="K35" s="18" t="n">
        <v>1</v>
      </c>
      <c r="L35" s="18" t="n">
        <v>-2</v>
      </c>
      <c r="M35" s="19">
        <f>ROUND(3*(0.22*H35+0.22*I35+0.2*J35+0.18*K35+0.18*L35),1)</f>
        <v/>
      </c>
      <c r="N35" s="20">
        <f>IF(COUNT(H35:L35)&lt;5,"hiányzó pont",IF(OR(MIN(H35:L35)&lt;-3,MAX(H35:L35)&gt;3),"−3…+3 közé",IF(COUNTIF(H35:L35,"&gt;0")=0,"kell pozitív is",IF(COUNTIF(H35:L35,"&lt;0")=0,"kell negatív is","rendben"))))</f>
        <v/>
      </c>
    </row>
    <row r="36" ht="76" customHeight="1">
      <c r="A36" s="15" t="n"/>
      <c r="B36" s="16" t="n"/>
      <c r="C36" s="17" t="n"/>
      <c r="D36" s="15" t="inlineStr">
        <is>
          <t>C</t>
        </is>
      </c>
      <c r="E36" s="17" t="inlineStr">
        <is>
          <t>Még éjjel felhívod a patikalánc vezetőjét, négyszemközt elmondod, mi történt, és megkérdezed, hogyan kezeljétek közösen. Ezzel őt is nehéz helyzetbe hozod.</t>
        </is>
      </c>
      <c r="F36" s="17" t="inlineStr">
        <is>
          <t>Mintzberg tárgyaló szerepe</t>
        </is>
      </c>
      <c r="G36" s="17" t="inlineStr">
        <is>
          <t>Mintzberg tárgyaló szerepében a vezető a másik féllel közösen alakítja ki a megoldást. Az ügyfél így nem utólag, hanem időben tudja meg a hibát, és beleszólhat a kezelésébe. Csakhogy a kényes döntés egy részét rá terhelted, és a saját céged vezetése kimaradt a legfontosabb beszélgetésből.</t>
        </is>
      </c>
      <c r="H36" s="18" t="n">
        <v>-1</v>
      </c>
      <c r="I36" s="18" t="n">
        <v>2</v>
      </c>
      <c r="J36" s="18" t="n">
        <v>1</v>
      </c>
      <c r="K36" s="18" t="n">
        <v>1</v>
      </c>
      <c r="L36" s="18" t="n">
        <v>2</v>
      </c>
      <c r="M36" s="19">
        <f>ROUND(3*(0.22*H36+0.22*I36+0.2*J36+0.18*K36+0.18*L36),1)</f>
        <v/>
      </c>
      <c r="N36" s="20">
        <f>IF(COUNT(H36:L36)&lt;5,"hiányzó pont",IF(OR(MIN(H36:L36)&lt;-3,MAX(H36:L36)&gt;3),"−3…+3 közé",IF(COUNTIF(H36:L36,"&gt;0")=0,"kell pozitív is",IF(COUNTIF(H36:L36,"&lt;0")=0,"kell negatív is","rendben"))))</f>
        <v/>
      </c>
    </row>
    <row r="37" ht="76" customHeight="1">
      <c r="A37" s="15" t="n"/>
      <c r="B37" s="16" t="n"/>
      <c r="C37" s="17" t="n"/>
      <c r="D37" s="15" t="inlineStr">
        <is>
          <t>D</t>
        </is>
      </c>
      <c r="E37" s="17" t="inlineStr">
        <is>
          <t>Aláírtok, és utána, a törvényes határidőn belül jelentitek az incidenst. Nem hazudsz, csak a sorrendet választod meg úgy, hogy háromszáz ember állása ne kerüljön veszélybe.</t>
        </is>
      </c>
      <c r="F37" s="17" t="inlineStr">
        <is>
          <t>Gátló racionalizálás: „jó célt szolgál”</t>
        </is>
      </c>
      <c r="G37" s="17" t="inlineStr">
        <is>
          <t>A gátló racionalizálások olyan érvek, amelyekkel egy kétes döntést magunk előtt elfogadhatóvá teszünk. A „jó célt szolgál” itt valódi célt véd: háromszáz ember állását. A hozzá vezető út mégis az, hogy az ügyfél egy számára fontos tény ismerete nélkül írja alá a szerződést — és ezt később nem lehet visszacsinálni.</t>
        </is>
      </c>
      <c r="H37" s="18" t="n">
        <v>1</v>
      </c>
      <c r="I37" s="18" t="n">
        <v>-3</v>
      </c>
      <c r="J37" s="18" t="n">
        <v>0</v>
      </c>
      <c r="K37" s="18" t="n">
        <v>-2</v>
      </c>
      <c r="L37" s="18" t="n">
        <v>1</v>
      </c>
      <c r="M37" s="19">
        <f>ROUND(3*(0.22*H37+0.22*I37+0.2*J37+0.18*K37+0.18*L37),1)</f>
        <v/>
      </c>
      <c r="N37" s="20">
        <f>IF(COUNT(H37:L37)&lt;5,"hiányzó pont",IF(OR(MIN(H37:L37)&lt;-3,MAX(H37:L37)&gt;3),"−3…+3 közé",IF(COUNTIF(H37:L37,"&gt;0")=0,"kell pozitív is",IF(COUNTIF(H37:L37,"&lt;0")=0,"kell negatív is","rendben"))))</f>
        <v/>
      </c>
    </row>
    <row r="38" ht="76" customHeight="1">
      <c r="A38" s="9" t="n">
        <v>10</v>
      </c>
      <c r="B38" s="10" t="inlineStr">
        <is>
          <t>Hétfő reggel</t>
        </is>
      </c>
      <c r="C38" s="11" t="inlineStr">
        <is>
          <t>A három hónap véget ért. Hétfő reggel a csapat összegyűlik a csapatszobában. Voltak, akik hatvanórás heteket húztak le. A vezérigazgató kért egy diát arról, mit tanult a cég, a csapat pedig azt kérdezi tőled: mi lesz velünk ezután?</t>
        </is>
      </c>
      <c r="D38" s="9" t="inlineStr">
        <is>
          <t>A</t>
        </is>
      </c>
      <c r="E38" s="11" t="inlineStr">
        <is>
          <t>Elmondod, hol hibáztál te, mit gondoltál rosszul az elején, és megkérdezed őket, ők mit csinálnának másképp. A diára is ez kerül.</t>
        </is>
      </c>
      <c r="F38" s="11" t="inlineStr">
        <is>
          <t>Reflektív gondolkodás és a következtetési létra</t>
        </is>
      </c>
      <c r="G38" s="11" t="inlineStr">
        <is>
          <t>A következtetési létra azt mutatja be, milyen gyorsan jutunk a látott tényekből feltevésekhez és ítéletekhez; a reflektív gondolkodás ezen a létrán való tudatos lemászás. Ha kimondod, melyik feltevésed volt téves, a csapat is mer majd ugyanígy gondolkodni. A vezérigazgató szemében viszont ez a dia kevésbé lesz fényes.</t>
        </is>
      </c>
      <c r="H38" s="12" t="n">
        <v>-1</v>
      </c>
      <c r="I38" s="12" t="n">
        <v>3</v>
      </c>
      <c r="J38" s="12" t="n">
        <v>2</v>
      </c>
      <c r="K38" s="12" t="n">
        <v>3</v>
      </c>
      <c r="L38" s="12" t="n">
        <v>1</v>
      </c>
      <c r="M38" s="13">
        <f>ROUND(3*(0.22*H38+0.22*I38+0.2*J38+0.18*K38+0.18*L38),1)</f>
        <v/>
      </c>
      <c r="N38" s="14">
        <f>IF(COUNT(H38:L38)&lt;5,"hiányzó pont",IF(OR(MIN(H38:L38)&lt;-3,MAX(H38:L38)&gt;3),"−3…+3 közé",IF(COUNTIF(H38:L38,"&gt;0")=0,"kell pozitív is",IF(COUNTIF(H38:L38,"&lt;0")=0,"kell negatív is","rendben"))))</f>
        <v/>
      </c>
    </row>
    <row r="39" ht="76" customHeight="1">
      <c r="A39" s="15" t="n"/>
      <c r="B39" s="16" t="n"/>
      <c r="C39" s="17" t="n"/>
      <c r="D39" s="15" t="inlineStr">
        <is>
          <t>B</t>
        </is>
      </c>
      <c r="E39" s="17" t="inlineStr">
        <is>
          <t>Megköszönöd a munkájukat, és bejelented a következő nagy célt. Úgy gondolod, most a lendületre van szükség, nem a múlt boncolgatására.</t>
        </is>
      </c>
      <c r="F39" s="17" t="inlineStr">
        <is>
          <t>Problémakerülő magatartás</t>
        </is>
      </c>
      <c r="G39" s="17" t="inlineStr">
        <is>
          <t>A jegyzet háromféle vezetői stratégiát különít el: a problémakeresőt, a problémamegoldót és a problémakerülőt, aki a nehéz kérdéseket inkább figyelmen kívül hagyja. A lendület valóban fontos, és a köszönet is jár. Ha viszont a három hónap tanulságai kimaradnak, a következő válságban ugyanazokat a hibákat fogjátok elkövetni.</t>
        </is>
      </c>
      <c r="H39" s="18" t="n">
        <v>1</v>
      </c>
      <c r="I39" s="18" t="n">
        <v>-1</v>
      </c>
      <c r="J39" s="18" t="n">
        <v>-2</v>
      </c>
      <c r="K39" s="18" t="n">
        <v>-2</v>
      </c>
      <c r="L39" s="18" t="n">
        <v>-1</v>
      </c>
      <c r="M39" s="19">
        <f>ROUND(3*(0.22*H39+0.22*I39+0.2*J39+0.18*K39+0.18*L39),1)</f>
        <v/>
      </c>
      <c r="N39" s="20">
        <f>IF(COUNT(H39:L39)&lt;5,"hiányzó pont",IF(OR(MIN(H39:L39)&lt;-3,MAX(H39:L39)&gt;3),"−3…+3 közé",IF(COUNTIF(H39:L39,"&gt;0")=0,"kell pozitív is",IF(COUNTIF(H39:L39,"&lt;0")=0,"kell negatív is","rendben"))))</f>
        <v/>
      </c>
    </row>
    <row r="40" ht="90" customHeight="1">
      <c r="A40" s="15" t="n"/>
      <c r="B40" s="16" t="n"/>
      <c r="C40" s="17" t="n"/>
      <c r="D40" s="15" t="inlineStr">
        <is>
          <t>C</t>
        </is>
      </c>
      <c r="E40" s="17" t="inlineStr">
        <is>
          <t>A vezérigazgatónak szánt diára a sikerek a csapat érdemeként, a gondok a nehéz körülmények — a túlterhelés, a határidő — következményeként kerülnek. A csapat büszke lehet magára.</t>
        </is>
      </c>
      <c r="F40" s="17" t="inlineStr">
        <is>
          <t>Énmegerősítő attribúció</t>
        </is>
      </c>
      <c r="G40" s="17" t="inlineStr">
        <is>
          <t>Az énmegerősítő attribúció az a hajlamunk, hogy a sikereket magunknak, a kudarcokat a körülményeknek tulajdonítsuk; ez egy csapattal együtt is működik. A dia büszkeséget ad, és a körülmények valóban nehezek voltak. Így viszont senki nem néz szembe azzal, mit lehetett volna jobban csinálni, és a vezérigazgató sem kap valódi tanulságot.</t>
        </is>
      </c>
      <c r="H40" s="18" t="n">
        <v>1</v>
      </c>
      <c r="I40" s="18" t="n">
        <v>-2</v>
      </c>
      <c r="J40" s="18" t="n">
        <v>-1</v>
      </c>
      <c r="K40" s="18" t="n">
        <v>-2</v>
      </c>
      <c r="L40" s="18" t="n">
        <v>2</v>
      </c>
      <c r="M40" s="19">
        <f>ROUND(3*(0.22*H40+0.22*I40+0.2*J40+0.18*K40+0.18*L40),1)</f>
        <v/>
      </c>
      <c r="N40" s="20">
        <f>IF(COUNT(H40:L40)&lt;5,"hiányzó pont",IF(OR(MIN(H40:L40)&lt;-3,MAX(H40:L40)&gt;3),"−3…+3 közé",IF(COUNTIF(H40:L40,"&gt;0")=0,"kell pozitív is",IF(COUNTIF(H40:L40,"&lt;0")=0,"kell negatív is","rendben"))))</f>
        <v/>
      </c>
    </row>
    <row r="41" ht="76" customHeight="1">
      <c r="A41" s="15" t="n"/>
      <c r="B41" s="16" t="n"/>
      <c r="C41" s="17" t="n"/>
      <c r="D41" s="15" t="inlineStr">
        <is>
          <t>D</t>
        </is>
      </c>
      <c r="E41" s="17" t="inlineStr">
        <is>
          <t>Mindenki névtelenül leírja, mi ment rosszul, és ebből te állítod össze a diát. Így őszintébb válaszokat kapsz, de te döntöd el, mi kerül bele.</t>
        </is>
      </c>
      <c r="F41" s="17" t="inlineStr">
        <is>
          <t>Mintzberg információgyűjtő szerepe</t>
        </is>
      </c>
      <c r="G41" s="17" t="inlineStr">
        <is>
          <t>Mintzberg információgyűjtő szerepében a vezető a szervezet belső információáramlásának központja. A névtelenség miatt olyan dolgok is felszínre kerülnek, amelyeket szemtől szemben senki nem mondana ki. A szűrés viszont nálad marad, és a csapat nem látja, mi lett a véleményéből.</t>
        </is>
      </c>
      <c r="H41" s="18" t="n">
        <v>0</v>
      </c>
      <c r="I41" s="18" t="n">
        <v>-1</v>
      </c>
      <c r="J41" s="18" t="n">
        <v>2</v>
      </c>
      <c r="K41" s="18" t="n">
        <v>1</v>
      </c>
      <c r="L41" s="18" t="n">
        <v>2</v>
      </c>
      <c r="M41" s="19">
        <f>ROUND(3*(0.22*H41+0.22*I41+0.2*J41+0.18*K41+0.18*L41),1)</f>
        <v/>
      </c>
      <c r="N41" s="20">
        <f>IF(COUNT(H41:L41)&lt;5,"hiányzó pont",IF(OR(MIN(H41:L41)&lt;-3,MAX(H41:L41)&gt;3),"−3…+3 közé",IF(COUNTIF(H41:L41,"&gt;0")=0,"kell pozitív is",IF(COUNTIF(H41:L41,"&lt;0")=0,"kell negatív is","rendben"))))</f>
        <v/>
      </c>
    </row>
  </sheetData>
  <autoFilter ref="A1:N41"/>
  <mergeCells count="30">
    <mergeCell ref="C14:C17"/>
    <mergeCell ref="B22:B25"/>
    <mergeCell ref="B18:B21"/>
    <mergeCell ref="C26:C29"/>
    <mergeCell ref="A30:A33"/>
    <mergeCell ref="C30:C33"/>
    <mergeCell ref="B2:B5"/>
    <mergeCell ref="C10:C13"/>
    <mergeCell ref="B14:B17"/>
    <mergeCell ref="C22:C25"/>
    <mergeCell ref="A6:A9"/>
    <mergeCell ref="B38:B41"/>
    <mergeCell ref="B10:B13"/>
    <mergeCell ref="A18:A21"/>
    <mergeCell ref="A26:A29"/>
    <mergeCell ref="A2:A5"/>
    <mergeCell ref="B34:B37"/>
    <mergeCell ref="C2:C5"/>
    <mergeCell ref="B6:B9"/>
    <mergeCell ref="B30:B33"/>
    <mergeCell ref="A14:A17"/>
    <mergeCell ref="C38:C41"/>
    <mergeCell ref="A10:A13"/>
    <mergeCell ref="A22:A25"/>
    <mergeCell ref="A38:A41"/>
    <mergeCell ref="B26:B29"/>
    <mergeCell ref="A34:A37"/>
    <mergeCell ref="C34:C37"/>
    <mergeCell ref="C6:C9"/>
    <mergeCell ref="C18:C21"/>
  </mergeCells>
  <conditionalFormatting sqref="H2:L41">
    <cfRule type="cellIs" priority="1" operator="greaterThan" dxfId="0">
      <formula>0</formula>
    </cfRule>
    <cfRule type="cellIs" priority="2" operator="lessThan" dxfId="1">
      <formula>0</formula>
    </cfRule>
  </conditionalFormatting>
  <conditionalFormatting sqref="N2:N41">
    <cfRule type="expression" priority="3" dxfId="1">
      <formula>N2&lt;&gt;"rendben"</formula>
    </cfRule>
  </conditionalFormatting>
  <dataValidations count="1">
    <dataValidation sqref="H2:L2 H3:L3 H4:L4 H5:L5 H6:L6 H7:L7 H8:L8 H9:L9 H10:L10 H11:L11 H12:L12 H13:L13 H14:L14 H15:L15 H16:L16 H17:L17 H18:L18 H19:L19 H20:L20 H21:L21 H22:L22 H23:L23 H24:L24 H25:L25 H26:L26 H27:L27 H28:L28 H29:L29 H30:L30 H31:L31 H32:L32 H33:L33 H34:L34 H35:L35 H36:L36 H37:L37 H38:L38 H39:L39 H40:L40 H41:L41" showDropDown="0" showInputMessage="0" showErrorMessage="1" allowBlank="0" errorTitle="Érvénytelen pont" error="Egész számot adj meg −3 és +3 között." type="whole" operator="between">
      <formula1>-3</formula1>
      <formula2>3</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N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6" customWidth="1" min="3" max="3"/>
    <col width="5" customWidth="1" min="4" max="4"/>
    <col width="44" customWidth="1" min="5" max="5"/>
    <col width="22" customWidth="1" min="6" max="6"/>
    <col width="58" customWidth="1" min="7" max="7"/>
    <col width="11" customWidth="1" min="8" max="8"/>
    <col width="11" customWidth="1" min="9" max="9"/>
    <col width="11" customWidth="1" min="10" max="10"/>
    <col width="11" customWidth="1" min="11" max="11"/>
    <col width="11" customWidth="1" min="12" max="12"/>
    <col width="13" customWidth="1" min="13" max="13"/>
    <col width="18" customWidth="1" min="14" max="14"/>
  </cols>
  <sheetData>
    <row r="1" ht="44" customHeight="1">
      <c r="A1" s="6" t="inlineStr">
        <is>
          <t>Sz.</t>
        </is>
      </c>
      <c r="B1" s="6" t="inlineStr">
        <is>
          <t>Jelenet címe</t>
        </is>
      </c>
      <c r="C1" s="6" t="inlineStr">
        <is>
          <t>Helyzet (a játékos ezt olvassa)</t>
        </is>
      </c>
      <c r="D1" s="6" t="inlineStr">
        <is>
          <t>Jel</t>
        </is>
      </c>
      <c r="E1" s="6" t="inlineStr">
        <is>
          <t>Válasz (a játékos ezt olvassa)</t>
        </is>
      </c>
      <c r="F1" s="6" t="inlineStr">
        <is>
          <t>Fogalom (a jegyzetből)</t>
        </is>
      </c>
      <c r="G1" s="6" t="inlineStr">
        <is>
          <t>Kiértékelés (a válasz után jelenik meg)</t>
        </is>
      </c>
      <c r="H1" s="6" t="inlineStr">
        <is>
          <t>Következetesség</t>
        </is>
      </c>
      <c r="I1" s="6" t="inlineStr">
        <is>
          <t>Átláthatóság</t>
        </is>
      </c>
      <c r="J1" s="6" t="inlineStr">
        <is>
          <t>Döntési minőség</t>
        </is>
      </c>
      <c r="K1" s="6" t="inlineStr">
        <is>
          <t>Felelősségvállalás</t>
        </is>
      </c>
      <c r="L1" s="6" t="inlineStr">
        <is>
          <t>Érintettek bevonása</t>
        </is>
      </c>
      <c r="M1" s="6" t="inlineStr">
        <is>
          <t>Súlyozott hatás a Bizalomindexre</t>
        </is>
      </c>
      <c r="N1" s="6" t="inlineStr">
        <is>
          <t>Ellenőrzés</t>
        </is>
      </c>
    </row>
    <row r="2" ht="76" customHeight="1">
      <c r="A2" s="9" t="n">
        <v>1</v>
      </c>
      <c r="B2" s="10" t="inlineStr">
        <is>
          <t>Négy óra</t>
        </is>
      </c>
      <c r="C2" s="11" t="inlineStr">
        <is>
          <t>Éjjel egykor riasztás: az ezrednek négy órán belül el kell indulnia Tiszaszögre, ahol hat nap múlva tetőzik az árhullám. Az állomány fele hétvégi eltávozáson van, a laktanya kapujánál a teherautók már járatják a motort. A parancs szerint indulni kell — a kérdés az, hogyan.</t>
        </is>
      </c>
      <c r="D2" s="9" t="inlineStr">
        <is>
          <t>A</t>
        </is>
      </c>
      <c r="E2" s="11" t="inlineStr">
        <is>
          <t>Előreküldesz egy tízfős felderítő csapatot egy mérnökkel, te pedig négy óra múlva jössz a többiekkel. Mire megérkezel, már tudod, mi vár rátok.</t>
        </is>
      </c>
      <c r="F2" s="11" t="inlineStr">
        <is>
          <t>Simon: a megértés szakasza</t>
        </is>
      </c>
      <c r="G2" s="11" t="inlineStr">
        <is>
          <t>Herbert Simon szerint a döntés első lépése a megértés: a helyzetről szóló tudás összegyűjtése, még a tervezés előtt. A felderítők miatt nem vakon érkezel, és az első óráid terve a valóságra épül. Cserébe eltértél a parancstól, amely az ezred együttes indulásáról szólt, és a kis csapat egy darabig magára marad.</t>
        </is>
      </c>
      <c r="H2" s="12" t="n">
        <v>-1</v>
      </c>
      <c r="I2" s="12" t="n">
        <v>1</v>
      </c>
      <c r="J2" s="12" t="n">
        <v>3</v>
      </c>
      <c r="K2" s="12" t="n">
        <v>1</v>
      </c>
      <c r="L2" s="12" t="n">
        <v>0</v>
      </c>
      <c r="M2" s="13">
        <f>ROUND(3*(0.22*H2+0.22*I2+0.2*J2+0.18*K2+0.18*L2),1)</f>
        <v/>
      </c>
      <c r="N2" s="14">
        <f>IF(COUNT(H2:L2)&lt;5,"hiányzó pont",IF(OR(MIN(H2:L2)&lt;-3,MAX(H2:L2)&gt;3),"−3…+3 közé",IF(COUNTIF(H2:L2,"&gt;0")=0,"kell pozitív is",IF(COUNTIF(H2:L2,"&lt;0")=0,"kell negatív is","rendben"))))</f>
        <v/>
      </c>
    </row>
    <row r="3" ht="76" customHeight="1">
      <c r="A3" s="15" t="n"/>
      <c r="B3" s="16" t="n"/>
      <c r="C3" s="17" t="n"/>
      <c r="D3" s="15" t="inlineStr">
        <is>
          <t>B</t>
        </is>
      </c>
      <c r="E3" s="17" t="inlineStr">
        <is>
          <t>Felhívod az elöljárót, és kéred, hogy tolják ki az indulást, amíg összeszeded az embereket. Így rendezetten mehettek, de órákat veszítetek.</t>
        </is>
      </c>
      <c r="F3" s="17" t="inlineStr">
        <is>
          <t>A döntés halogatása</t>
        </is>
      </c>
      <c r="G3" s="17" t="inlineStr">
        <is>
          <t>A jegyzet a döntés halogatásának nevezi, amikor a problémát tovább toljuk, és kivárjuk, amíg a helyzet kikényszeríti a lépést. Őszintén jelezted a gondot, és az embereidre is gondoltál. A víz viszont nem vár, és az elöljáró azt látja, hogy az első órában egy parancs megváltoztatásán dolgozol, nem a végrehajtásán.</t>
        </is>
      </c>
      <c r="H3" s="18" t="n">
        <v>-2</v>
      </c>
      <c r="I3" s="18" t="n">
        <v>2</v>
      </c>
      <c r="J3" s="18" t="n">
        <v>-1</v>
      </c>
      <c r="K3" s="18" t="n">
        <v>-1</v>
      </c>
      <c r="L3" s="18" t="n">
        <v>1</v>
      </c>
      <c r="M3" s="19">
        <f>ROUND(3*(0.22*H3+0.22*I3+0.2*J3+0.18*K3+0.18*L3),1)</f>
        <v/>
      </c>
      <c r="N3" s="20">
        <f>IF(COUNT(H3:L3)&lt;5,"hiányzó pont",IF(OR(MIN(H3:L3)&lt;-3,MAX(H3:L3)&gt;3),"−3…+3 közé",IF(COUNTIF(H3:L3,"&gt;0")=0,"kell pozitív is",IF(COUNTIF(H3:L3,"&lt;0")=0,"kell negatív is","rendben"))))</f>
        <v/>
      </c>
    </row>
    <row r="4" ht="76" customHeight="1">
      <c r="A4" s="15" t="n"/>
      <c r="B4" s="16" t="n"/>
      <c r="C4" s="17" t="n"/>
      <c r="D4" s="15" t="inlineStr">
        <is>
          <t>C</t>
        </is>
      </c>
      <c r="E4" s="17" t="inlineStr">
        <is>
          <t>A jelenlévőkkel négy órán belül elindulsz, a többieket egyenesen a helyszínre rendeled. Az első két napban fél létszámmal dolgoztok, de ott vagytok.</t>
        </is>
      </c>
      <c r="F4" s="17" t="inlineStr">
        <is>
          <t>Mintzberg zavarelhárító szerepe</t>
        </is>
      </c>
      <c r="G4" s="17" t="inlineStr">
        <is>
          <t>Mintzberg zavarelhárító szerepében a vezető gyorsan lép, amikor valami megzavarja a működést. Időben a helyszínen lenni itt valódi érték, és a parancsot is betartottad. Az ár az, hogy fél létszámmal a jelenlévők az első napokban túlterhelődnek, és a kimerültség később visszaüthet.</t>
        </is>
      </c>
      <c r="H4" s="18" t="n">
        <v>2</v>
      </c>
      <c r="I4" s="18" t="n">
        <v>0</v>
      </c>
      <c r="J4" s="18" t="n">
        <v>1</v>
      </c>
      <c r="K4" s="18" t="n">
        <v>2</v>
      </c>
      <c r="L4" s="18" t="n">
        <v>-2</v>
      </c>
      <c r="M4" s="19">
        <f>ROUND(3*(0.22*H4+0.22*I4+0.2*J4+0.18*K4+0.18*L4),1)</f>
        <v/>
      </c>
      <c r="N4" s="20">
        <f>IF(COUNT(H4:L4)&lt;5,"hiányzó pont",IF(OR(MIN(H4:L4)&lt;-3,MAX(H4:L4)&gt;3),"−3…+3 közé",IF(COUNTIF(H4:L4,"&gt;0")=0,"kell pozitív is",IF(COUNTIF(H4:L4,"&lt;0")=0,"kell negatív is","rendben"))))</f>
        <v/>
      </c>
    </row>
    <row r="5" ht="62" customHeight="1">
      <c r="A5" s="15" t="n"/>
      <c r="B5" s="16" t="n"/>
      <c r="C5" s="17" t="n"/>
      <c r="D5" s="15" t="inlineStr">
        <is>
          <t>D</t>
        </is>
      </c>
      <c r="E5" s="17" t="inlineStr">
        <is>
          <t>Visszarendelsz mindenkit, és csak teljes létszámmal indultok, nyolc óra múlva. A szabályzat szerint így kell kivonulni, és így senki nem marad magára.</t>
        </is>
      </c>
      <c r="F5" s="17" t="inlineStr">
        <is>
          <t>Programozott döntés</t>
        </is>
      </c>
      <c r="G5" s="17" t="inlineStr">
        <is>
          <t>Simon programozott döntésnek nevezi azt, amelyre kész rutin vagy szabály van. A kivonulási rend ilyen rutin, és sok helyzetben éppen ez ad biztonságot. Egy rendkívüli árhullámnál viszont a szabály szerinti nyolc óra olyan idő, amely a helyszínen hiányozni fog.</t>
        </is>
      </c>
      <c r="H5" s="18" t="n">
        <v>2</v>
      </c>
      <c r="I5" s="18" t="n">
        <v>1</v>
      </c>
      <c r="J5" s="18" t="n">
        <v>-2</v>
      </c>
      <c r="K5" s="18" t="n">
        <v>-1</v>
      </c>
      <c r="L5" s="18" t="n">
        <v>0</v>
      </c>
      <c r="M5" s="19">
        <f>ROUND(3*(0.22*H5+0.22*I5+0.2*J5+0.18*K5+0.18*L5),1)</f>
        <v/>
      </c>
      <c r="N5" s="20">
        <f>IF(COUNT(H5:L5)&lt;5,"hiányzó pont",IF(OR(MIN(H5:L5)&lt;-3,MAX(H5:L5)&gt;3),"−3…+3 közé",IF(COUNTIF(H5:L5,"&gt;0")=0,"kell pozitív is",IF(COUNTIF(H5:L5,"&lt;0")=0,"kell negatív is","rendben"))))</f>
        <v/>
      </c>
    </row>
    <row r="6" ht="76" customHeight="1">
      <c r="A6" s="9" t="n">
        <v>2</v>
      </c>
      <c r="B6" s="10" t="inlineStr">
        <is>
          <t>Kinek a gátja?</t>
        </is>
      </c>
      <c r="C6" s="11" t="inlineStr">
        <is>
          <t>Megérkeztetek. A törzssátorban a térkép fölé hajol Kiss polgármester, Varga, a vízügyi mérnök és a gazdák képviselője. Varga szerint minden erőt a városi gátra kell összpontosítani. A gazdák szerint ha a tanyák feletti töltés átszakad, elvész a termés és negyven család megélhetése. Mindenki tőled várja, hová küldöd az embereket.</t>
        </is>
      </c>
      <c r="D6" s="9" t="inlineStr">
        <is>
          <t>A</t>
        </is>
      </c>
      <c r="E6" s="11" t="inlineStr">
        <is>
          <t>Fele-fele arányban osztod el az erőket a városi és a tanyasi töltés között, hogy senki ne mondhassa, hogy cserben hagytad.</t>
        </is>
      </c>
      <c r="F6" s="11" t="inlineStr">
        <is>
          <t>Korlátozott racionalitás, kielégítő döntés</t>
        </is>
      </c>
      <c r="G6" s="11" t="inlineStr">
        <is>
          <t>Simon szerint a valóságban nem az optimális, hanem az első elfogadható megoldást szoktuk választani. A fele-fele elosztás mindenkinek elfogadható, és a vitát azonnal lezárja. Csakhogy a víz nem egyenlően fenyeget, és ha egyik helyen sem lesz elég ember, mindkét töltés gyengébb marad a kelleténél.</t>
        </is>
      </c>
      <c r="H6" s="12" t="n">
        <v>1</v>
      </c>
      <c r="I6" s="12" t="n">
        <v>1</v>
      </c>
      <c r="J6" s="12" t="n">
        <v>-2</v>
      </c>
      <c r="K6" s="12" t="n">
        <v>0</v>
      </c>
      <c r="L6" s="12" t="n">
        <v>2</v>
      </c>
      <c r="M6" s="13">
        <f>ROUND(3*(0.22*H6+0.22*I6+0.2*J6+0.18*K6+0.18*L6),1)</f>
        <v/>
      </c>
      <c r="N6" s="14">
        <f>IF(COUNT(H6:L6)&lt;5,"hiányzó pont",IF(OR(MIN(H6:L6)&lt;-3,MAX(H6:L6)&gt;3),"−3…+3 közé",IF(COUNTIF(H6:L6,"&gt;0")=0,"kell pozitív is",IF(COUNTIF(H6:L6,"&lt;0")=0,"kell negatív is","rendben"))))</f>
        <v/>
      </c>
    </row>
    <row r="7" ht="76" customHeight="1">
      <c r="A7" s="15" t="n"/>
      <c r="B7" s="16" t="n"/>
      <c r="C7" s="17" t="n"/>
      <c r="D7" s="15" t="inlineStr">
        <is>
          <t>B</t>
        </is>
      </c>
      <c r="E7" s="17" t="inlineStr">
        <is>
          <t>A polgármesterre bízod a döntést: ő ismeri a helyieket és a helyzetet, döntse el ő, hová menjenek a katonák.</t>
        </is>
      </c>
      <c r="F7" s="17" t="inlineStr">
        <is>
          <t>A döntés elhárítása</t>
        </is>
      </c>
      <c r="G7" s="17" t="inlineStr">
        <is>
          <t>A jegyzet a döntéshozói magatartások között írja le a döntés elhárítását, amikor a vezető másra hagyja, amit neki kellene eldöntenie. A polgármester valóban ismeri a várost, és a helyiek jobban elfogadják a szavát. De az ezred a te felelősséged, és ha rosszul alakul, senki nem fogja a polgármestert kérdezni.</t>
        </is>
      </c>
      <c r="H7" s="18" t="n">
        <v>-1</v>
      </c>
      <c r="I7" s="18" t="n">
        <v>0</v>
      </c>
      <c r="J7" s="18" t="n">
        <v>-1</v>
      </c>
      <c r="K7" s="18" t="n">
        <v>-3</v>
      </c>
      <c r="L7" s="18" t="n">
        <v>2</v>
      </c>
      <c r="M7" s="19">
        <f>ROUND(3*(0.22*H7+0.22*I7+0.2*J7+0.18*K7+0.18*L7),1)</f>
        <v/>
      </c>
      <c r="N7" s="20">
        <f>IF(COUNT(H7:L7)&lt;5,"hiányzó pont",IF(OR(MIN(H7:L7)&lt;-3,MAX(H7:L7)&gt;3),"−3…+3 közé",IF(COUNTIF(H7:L7,"&gt;0")=0,"kell pozitív is",IF(COUNTIF(H7:L7,"&lt;0")=0,"kell negatív is","rendben"))))</f>
        <v/>
      </c>
    </row>
    <row r="8" ht="76" customHeight="1">
      <c r="A8" s="15" t="n"/>
      <c r="B8" s="16" t="n"/>
      <c r="C8" s="17" t="n"/>
      <c r="D8" s="15" t="inlineStr">
        <is>
          <t>C</t>
        </is>
      </c>
      <c r="E8" s="17" t="inlineStr">
        <is>
          <t>Mielőtt bárhová küldesz valakit, felírjátok, kik mind érintettek — városiak, tanyasiak, gazdák, a kórház, a katonák —, kinek mi forog kockán, és kinek mekkora a beleszólása. Ez egy óra, amíg a víz emelkedik.</t>
        </is>
      </c>
      <c r="F8" s="17" t="inlineStr">
        <is>
          <t>Érintett-térkép</t>
        </is>
      </c>
      <c r="G8" s="17" t="inlineStr">
        <is>
          <t>Az érintett-térkép megmutatja, kikre hat egy döntés, azokat is beleértve, akik nem ülnek az asztalnál — itt például a kórházat vagy a tanyán élő időseket. Ettől lesz látható, kinek a hangja hiányzik a sátorból. Egy óra ilyenkor sok, és a sátor előtt várakozó katonák nem értik, miért nem indulnak még.</t>
        </is>
      </c>
      <c r="H8" s="18" t="n">
        <v>-1</v>
      </c>
      <c r="I8" s="18" t="n">
        <v>2</v>
      </c>
      <c r="J8" s="18" t="n">
        <v>2</v>
      </c>
      <c r="K8" s="18" t="n">
        <v>1</v>
      </c>
      <c r="L8" s="18" t="n">
        <v>2</v>
      </c>
      <c r="M8" s="19">
        <f>ROUND(3*(0.22*H8+0.22*I8+0.2*J8+0.18*K8+0.18*L8),1)</f>
        <v/>
      </c>
      <c r="N8" s="20">
        <f>IF(COUNT(H8:L8)&lt;5,"hiányzó pont",IF(OR(MIN(H8:L8)&lt;-3,MAX(H8:L8)&gt;3),"−3…+3 közé",IF(COUNTIF(H8:L8,"&gt;0")=0,"kell pozitív is",IF(COUNTIF(H8:L8,"&lt;0")=0,"kell negatív is","rendben"))))</f>
        <v/>
      </c>
    </row>
    <row r="9" ht="76" customHeight="1">
      <c r="A9" s="15" t="n"/>
      <c r="B9" s="16" t="n"/>
      <c r="C9" s="17" t="n"/>
      <c r="D9" s="15" t="inlineStr">
        <is>
          <t>D</t>
        </is>
      </c>
      <c r="E9" s="17" t="inlineStr">
        <is>
          <t>Vargára hallgatsz: ő a szakember, ő ismeri a gátakat. A városi töltésre összpontosítotok, a gazdák csalódottan mennek haza.</t>
        </is>
      </c>
      <c r="F9" s="17" t="inlineStr">
        <is>
          <t>Szakértői döntéshozatal</t>
        </is>
      </c>
      <c r="G9" s="17" t="inlineStr">
        <is>
          <t>A jegyzet csoportos döntési modelljei között szerepel a szakértői döntés: a csoport azt hagyja dönteni, aki a kérdésben a legjáratosabb. A gátakról Varga tud a legtöbbet, ez erős érv. A modell hátránya, hogy nincs benne párbeszéd, és a döntés súlya — negyven család megélhetése — egy mérnöki szempontra szűkül.</t>
        </is>
      </c>
      <c r="H9" s="18" t="n">
        <v>1</v>
      </c>
      <c r="I9" s="18" t="n">
        <v>1</v>
      </c>
      <c r="J9" s="18" t="n">
        <v>1</v>
      </c>
      <c r="K9" s="18" t="n">
        <v>-2</v>
      </c>
      <c r="L9" s="18" t="n">
        <v>-2</v>
      </c>
      <c r="M9" s="19">
        <f>ROUND(3*(0.22*H9+0.22*I9+0.2*J9+0.18*K9+0.18*L9),1)</f>
        <v/>
      </c>
      <c r="N9" s="20">
        <f>IF(COUNT(H9:L9)&lt;5,"hiányzó pont",IF(OR(MIN(H9:L9)&lt;-3,MAX(H9:L9)&gt;3),"−3…+3 közé",IF(COUNTIF(H9:L9,"&gt;0")=0,"kell pozitív is",IF(COUNTIF(H9:L9,"&lt;0")=0,"kell negatív is","rendben"))))</f>
        <v/>
      </c>
    </row>
    <row r="10" ht="90" customHeight="1">
      <c r="A10" s="9" t="n">
        <v>3</v>
      </c>
      <c r="B10" s="10" t="inlineStr">
        <is>
          <t>Két előrejelzés</t>
        </is>
      </c>
      <c r="C10" s="11" t="inlineStr">
        <is>
          <t>A dandárparancsnokság minden reggel hatkor egyetlen számot kér: mekkora lesz a tetőzés. Csakhogy két előrejelzés van. Az egyik hét méter húsz centit mond, a másik hét méter kilencvenet — a városi gát hét méter hatvanig biztos. A rádión várják a jelentésedet.</t>
        </is>
      </c>
      <c r="D10" s="9" t="inlineStr">
        <is>
          <t>A</t>
        </is>
      </c>
      <c r="E10" s="11" t="inlineStr">
        <is>
          <t>Mindkét számot jelented, és mindkettőhöz leírod, mit csinálsz, ha az jön be. A parancsnokság bosszús, mert egyetlen számot kért.</t>
        </is>
      </c>
      <c r="F10" s="11" t="inlineStr">
        <is>
          <t>Snowden–Boone: összetett helyzet</t>
        </is>
      </c>
      <c r="G10" s="11" t="inlineStr">
        <is>
          <t>Snowden és Boone összetett helyzetnek nevezik, amikor az ok-okozati viszonyok felderíthetők, de nem azonnal láthatók, és több helyes válasz is létezhet — ilyenkor szakértői mérlegelésre van szükség. Két előrejelzés éppen ilyen helyzet, és te nem tettél úgy, mintha csak egy lenne. A pontos kép bosszantja azokat, akik egyszerű választ vártak.</t>
        </is>
      </c>
      <c r="H10" s="12" t="n">
        <v>-1</v>
      </c>
      <c r="I10" s="12" t="n">
        <v>3</v>
      </c>
      <c r="J10" s="12" t="n">
        <v>2</v>
      </c>
      <c r="K10" s="12" t="n">
        <v>1</v>
      </c>
      <c r="L10" s="12" t="n">
        <v>0</v>
      </c>
      <c r="M10" s="13">
        <f>ROUND(3*(0.22*H10+0.22*I10+0.2*J10+0.18*K10+0.18*L10),1)</f>
        <v/>
      </c>
      <c r="N10" s="14">
        <f>IF(COUNT(H10:L10)&lt;5,"hiányzó pont",IF(OR(MIN(H10:L10)&lt;-3,MAX(H10:L10)&gt;3),"−3…+3 közé",IF(COUNTIF(H10:L10,"&gt;0")=0,"kell pozitív is",IF(COUNTIF(H10:L10,"&lt;0")=0,"kell negatív is","rendben"))))</f>
        <v/>
      </c>
    </row>
    <row r="11" ht="76" customHeight="1">
      <c r="A11" s="15" t="n"/>
      <c r="B11" s="16" t="n"/>
      <c r="C11" s="17" t="n"/>
      <c r="D11" s="15" t="inlineStr">
        <is>
          <t>B</t>
        </is>
      </c>
      <c r="E11" s="17" t="inlineStr">
        <is>
          <t>Megkéred a törzsfőnököt, hogy jöjjön ki, és nézze meg a helyszínt a saját szemével, mielőtt a számokról döntenek. Ezzel a parancsnokságon nem szerzel barátokat.</t>
        </is>
      </c>
      <c r="F11" s="17" t="inlineStr">
        <is>
          <t>Mintzberg kapcsolattartó szerepe</t>
        </is>
      </c>
      <c r="G11" s="17" t="inlineStr">
        <is>
          <t>Mintzberg kapcsolattartó szerepében a vezető olyan emberekkel tart kapcsolatot, akik maguk is információs központok. Ha a törzsfőnök látja a töltést, a számok mögött a valóságot is érti. A kérés viszont a szolgálati utat kerüli meg, és van, aki ezt okoskodásnak fogja venni.</t>
        </is>
      </c>
      <c r="H11" s="18" t="n">
        <v>-1</v>
      </c>
      <c r="I11" s="18" t="n">
        <v>2</v>
      </c>
      <c r="J11" s="18" t="n">
        <v>2</v>
      </c>
      <c r="K11" s="18" t="n">
        <v>0</v>
      </c>
      <c r="L11" s="18" t="n">
        <v>1</v>
      </c>
      <c r="M11" s="19">
        <f>ROUND(3*(0.22*H11+0.22*I11+0.2*J11+0.18*K11+0.18*L11),1)</f>
        <v/>
      </c>
      <c r="N11" s="20">
        <f>IF(COUNT(H11:L11)&lt;5,"hiányzó pont",IF(OR(MIN(H11:L11)&lt;-3,MAX(H11:L11)&gt;3),"−3…+3 közé",IF(COUNTIF(H11:L11,"&gt;0")=0,"kell pozitív is",IF(COUNTIF(H11:L11,"&lt;0")=0,"kell negatív is","rendben"))))</f>
        <v/>
      </c>
    </row>
    <row r="12" ht="76" customHeight="1">
      <c r="A12" s="15" t="n"/>
      <c r="B12" s="16" t="n"/>
      <c r="C12" s="17" t="n"/>
      <c r="D12" s="15" t="inlineStr">
        <is>
          <t>C</t>
        </is>
      </c>
      <c r="E12" s="17" t="inlineStr">
        <is>
          <t>Az alacsonyabb számot jelented: ha a magasabbat mondod, a parancsnokság máshonnan vonhat el erőt, és a városban is nagyobb lesz a pánik.</t>
        </is>
      </c>
      <c r="F12" s="17" t="inlineStr">
        <is>
          <t>Szelektív hárítás</t>
        </is>
      </c>
      <c r="G12" s="17" t="inlineStr">
        <is>
          <t>A szelektív hárítás az, amikor a kellemetlen, félelmetes információt nem engedjük be, mert zavarja a képet, amelyet fenn akarunk tartani. Az indokaid valódiak: a pánik tényleg veszélyes. De ha a magasabb szám jön be, a parancsnokság olyan helyzetre készült, amely nem létezik.</t>
        </is>
      </c>
      <c r="H12" s="18" t="n">
        <v>0</v>
      </c>
      <c r="I12" s="18" t="n">
        <v>-3</v>
      </c>
      <c r="J12" s="18" t="n">
        <v>-2</v>
      </c>
      <c r="K12" s="18" t="n">
        <v>-1</v>
      </c>
      <c r="L12" s="18" t="n">
        <v>1</v>
      </c>
      <c r="M12" s="19">
        <f>ROUND(3*(0.22*H12+0.22*I12+0.2*J12+0.18*K12+0.18*L12),1)</f>
        <v/>
      </c>
      <c r="N12" s="20">
        <f>IF(COUNT(H12:L12)&lt;5,"hiányzó pont",IF(OR(MIN(H12:L12)&lt;-3,MAX(H12:L12)&gt;3),"−3…+3 közé",IF(COUNTIF(H12:L12,"&gt;0")=0,"kell pozitív is",IF(COUNTIF(H12:L12,"&lt;0")=0,"kell negatív is","rendben"))))</f>
        <v/>
      </c>
    </row>
    <row r="13" ht="76" customHeight="1">
      <c r="A13" s="15" t="n"/>
      <c r="B13" s="16" t="n"/>
      <c r="C13" s="17" t="n"/>
      <c r="D13" s="15" t="inlineStr">
        <is>
          <t>D</t>
        </is>
      </c>
      <c r="E13" s="17" t="inlineStr">
        <is>
          <t>A magasabb számot jelented, hogy biztosan kapj még két gépet és egy századot. Ha nem jön be, legfeljebb túlbiztosítottátok.</t>
        </is>
      </c>
      <c r="F13" s="17" t="inlineStr">
        <is>
          <t>Mintzberg tárgyaló szerepe</t>
        </is>
      </c>
      <c r="G13" s="17" t="inlineStr">
        <is>
          <t>Mintzberg tárgyaló szerepében a vezető erőforrásokat szerez a szervezetének egyezkedés útján. A magasabb számmal jó eséllyel megkapod az erősítést, amelyre szükséged lehet. Ha viszont kiderül, hogy a jelentésedet a céljaidhoz igazítottad, legközelebb a pontos számaidnak sem fognak hinni.</t>
        </is>
      </c>
      <c r="H13" s="18" t="n">
        <v>0</v>
      </c>
      <c r="I13" s="18" t="n">
        <v>-2</v>
      </c>
      <c r="J13" s="18" t="n">
        <v>1</v>
      </c>
      <c r="K13" s="18" t="n">
        <v>1</v>
      </c>
      <c r="L13" s="18" t="n">
        <v>0</v>
      </c>
      <c r="M13" s="19">
        <f>ROUND(3*(0.22*H13+0.22*I13+0.2*J13+0.18*K13+0.18*L13),1)</f>
        <v/>
      </c>
      <c r="N13" s="20">
        <f>IF(COUNT(H13:L13)&lt;5,"hiányzó pont",IF(OR(MIN(H13:L13)&lt;-3,MAX(H13:L13)&gt;3),"−3…+3 közé",IF(COUNTIF(H13:L13,"&gt;0")=0,"kell pozitív is",IF(COUNTIF(H13:L13,"&lt;0")=0,"kell negatív is","rendben"))))</f>
        <v/>
      </c>
    </row>
    <row r="14" ht="76" customHeight="1">
      <c r="A14" s="9" t="n">
        <v>4</v>
      </c>
      <c r="B14" s="10" t="inlineStr">
        <is>
          <t>Egy gép, két szakasz</t>
        </is>
      </c>
      <c r="C14" s="11" t="inlineStr">
        <is>
          <t>A harmadik napon két helyen is gyengül a töltés: a városi gátnál egy rövidebb, a tanyák felett egy hosszabb szakaszon. Egyetlen nagy teljesítményű markolótok van. A két szakaszparancsnok egyszerre hív a rádión, és mindkettő a gépet kéri.</t>
        </is>
      </c>
      <c r="D14" s="9" t="inlineStr">
        <is>
          <t>A</t>
        </is>
      </c>
      <c r="E14" s="11" t="inlineStr">
        <is>
          <t>A városé az elsőbbség: emberek előbb, mint a termés. Ezt szabályként mondod ki, és mindkét parancsnok tudja, mihez tartsa magát.</t>
        </is>
      </c>
      <c r="F14" s="11" t="inlineStr">
        <is>
          <t>Jól és rosszul strukturált döntés</t>
        </is>
      </c>
      <c r="G14" s="11" t="inlineStr">
        <is>
          <t>Simon szerint a jól strukturált döntésnél világos, mi a probléma, a rosszul strukturáltnál viszont nem. Egy egyszerű szabállyal jól strukturálttá tetted a helyzetet, és ez gyors, kiszámítható parancsokat ad. A szabály azonban elrejti, hogy a tanyáknál is emberek élnek, és ha ott szakad át a gát, a „csak termés” nem lesz igaz.</t>
        </is>
      </c>
      <c r="H14" s="12" t="n">
        <v>3</v>
      </c>
      <c r="I14" s="12" t="n">
        <v>2</v>
      </c>
      <c r="J14" s="12" t="n">
        <v>-1</v>
      </c>
      <c r="K14" s="12" t="n">
        <v>1</v>
      </c>
      <c r="L14" s="12" t="n">
        <v>-2</v>
      </c>
      <c r="M14" s="13">
        <f>ROUND(3*(0.22*H14+0.22*I14+0.2*J14+0.18*K14+0.18*L14),1)</f>
        <v/>
      </c>
      <c r="N14" s="14">
        <f>IF(COUNT(H14:L14)&lt;5,"hiányzó pont",IF(OR(MIN(H14:L14)&lt;-3,MAX(H14:L14)&gt;3),"−3…+3 közé",IF(COUNTIF(H14:L14,"&gt;0")=0,"kell pozitív is",IF(COUNTIF(H14:L14,"&lt;0")=0,"kell negatív is","rendben"))))</f>
        <v/>
      </c>
    </row>
    <row r="15" ht="76" customHeight="1">
      <c r="A15" s="15" t="n"/>
      <c r="B15" s="16" t="n"/>
      <c r="C15" s="17" t="n"/>
      <c r="D15" s="15" t="inlineStr">
        <is>
          <t>B</t>
        </is>
      </c>
      <c r="E15" s="17" t="inlineStr">
        <is>
          <t>A gép felváltva dolgozik a két helyen: délelőtt az egyik, délután a másik szakaszon.</t>
        </is>
      </c>
      <c r="F15" s="17" t="inlineStr">
        <is>
          <t>Inkrementalizmus (átevickélés)</t>
        </is>
      </c>
      <c r="G15" s="17" t="inlineStr">
        <is>
          <t>Az inkrementalizmus nagy döntések helyett kis, fokozatos lépéseket jelent, amelyek közben a helyzet alakulásához lehet igazodni. A váltás egyik szakaszt sem hagyja magára, és a legkönnyebben megtehető lépés. Csakhogy az átállás idő, és könnyen lehet, hogy estére mindkét szakasz félkész marad.</t>
        </is>
      </c>
      <c r="H15" s="18" t="n">
        <v>0</v>
      </c>
      <c r="I15" s="18" t="n">
        <v>1</v>
      </c>
      <c r="J15" s="18" t="n">
        <v>-2</v>
      </c>
      <c r="K15" s="18" t="n">
        <v>0</v>
      </c>
      <c r="L15" s="18" t="n">
        <v>2</v>
      </c>
      <c r="M15" s="19">
        <f>ROUND(3*(0.22*H15+0.22*I15+0.2*J15+0.18*K15+0.18*L15),1)</f>
        <v/>
      </c>
      <c r="N15" s="20">
        <f>IF(COUNT(H15:L15)&lt;5,"hiányzó pont",IF(OR(MIN(H15:L15)&lt;-3,MAX(H15:L15)&gt;3),"−3…+3 közé",IF(COUNTIF(H15:L15,"&gt;0")=0,"kell pozitív is",IF(COUNTIF(H15:L15,"&lt;0")=0,"kell negatív is","rendben"))))</f>
        <v/>
      </c>
    </row>
    <row r="16" ht="90" customHeight="1">
      <c r="A16" s="15" t="n"/>
      <c r="B16" s="16" t="n"/>
      <c r="C16" s="17" t="n"/>
      <c r="D16" s="15" t="inlineStr">
        <is>
          <t>C</t>
        </is>
      </c>
      <c r="E16" s="17" t="inlineStr">
        <is>
          <t>Felírjátok, melyik szakasz mögött hány ház, hány ember és mennyi termés van, és mennyi idő a javítás. Először megnézitek, van-e olyan lehetőség, amelyik mindenben rosszabb egy másiknál. Ez húsz perc a rádió mellett.</t>
        </is>
      </c>
      <c r="F16" s="17" t="inlineStr">
        <is>
          <t>Dominancia elve</t>
        </is>
      </c>
      <c r="G16" s="17" t="inlineStr">
        <is>
          <t>A dominancia elve szerint ha egy lehetőség semmiben nem jobb egy másiknál, és legalább egy szempontból rosszabb, azt nyugodtan elvethetjük, mielőtt nehezebb mérlegelésbe kezdenénk. Ha az egyik szakasz minden szempontból kevésbé sürgős, a döntés magától megszületik. Ha nem, legalább tudod, min múlik — de húsz percig mindkét szakasz vár.</t>
        </is>
      </c>
      <c r="H16" s="18" t="n">
        <v>-1</v>
      </c>
      <c r="I16" s="18" t="n">
        <v>2</v>
      </c>
      <c r="J16" s="18" t="n">
        <v>3</v>
      </c>
      <c r="K16" s="18" t="n">
        <v>1</v>
      </c>
      <c r="L16" s="18" t="n">
        <v>0</v>
      </c>
      <c r="M16" s="19">
        <f>ROUND(3*(0.22*H16+0.22*I16+0.2*J16+0.18*K16+0.18*L16),1)</f>
        <v/>
      </c>
      <c r="N16" s="20">
        <f>IF(COUNT(H16:L16)&lt;5,"hiányzó pont",IF(OR(MIN(H16:L16)&lt;-3,MAX(H16:L16)&gt;3),"−3…+3 közé",IF(COUNTIF(H16:L16,"&gt;0")=0,"kell pozitív is",IF(COUNTIF(H16:L16,"&lt;0")=0,"kell negatív is","rendben"))))</f>
        <v/>
      </c>
    </row>
    <row r="17" ht="76" customHeight="1">
      <c r="A17" s="15" t="n"/>
      <c r="B17" s="16" t="n"/>
      <c r="C17" s="17" t="n"/>
      <c r="D17" s="15" t="inlineStr">
        <is>
          <t>D</t>
        </is>
      </c>
      <c r="E17" s="17" t="inlineStr">
        <is>
          <t>Bérelsz egy második gépet egy helyi vállalkozótól a saját keretedből, amihez nincs engedélyed. Utólag kell majd elszámolnod vele.</t>
        </is>
      </c>
      <c r="F17" s="17" t="inlineStr">
        <is>
          <t>Mintzberg vállalkozó szerepe</t>
        </is>
      </c>
      <c r="G17" s="17" t="inlineStr">
        <is>
          <t>Mintzberg vállalkozó szerepében a vezető maga kezdeményez változást, és felkutatja a lehetőségeket. A második géppel kilépsz a „vagy-vagy” helyzetből, és mindkét szakasz megkapja, amit kér. Ennek ára a szabálysértés: ha a dandár nem fogadja el az elszámolást, a döntés a te nevedhez kötődik.</t>
        </is>
      </c>
      <c r="H17" s="18" t="n">
        <v>-2</v>
      </c>
      <c r="I17" s="18" t="n">
        <v>0</v>
      </c>
      <c r="J17" s="18" t="n">
        <v>2</v>
      </c>
      <c r="K17" s="18" t="n">
        <v>3</v>
      </c>
      <c r="L17" s="18" t="n">
        <v>1</v>
      </c>
      <c r="M17" s="19">
        <f>ROUND(3*(0.22*H17+0.22*I17+0.2*J17+0.18*K17+0.18*L17),1)</f>
        <v/>
      </c>
      <c r="N17" s="20">
        <f>IF(COUNT(H17:L17)&lt;5,"hiányzó pont",IF(OR(MIN(H17:L17)&lt;-3,MAX(H17:L17)&gt;3),"−3…+3 közé",IF(COUNTIF(H17:L17,"&gt;0")=0,"kell pozitív is",IF(COUNTIF(H17:L17,"&lt;0")=0,"kell negatív is","rendben"))))</f>
        <v/>
      </c>
    </row>
    <row r="18" ht="76" customHeight="1">
      <c r="A18" s="9" t="n">
        <v>5</v>
      </c>
      <c r="B18" s="10" t="inlineStr">
        <is>
          <t>Műszaki hiba</t>
        </is>
      </c>
      <c r="C18" s="11" t="inlineStr">
        <is>
          <t>Az ötödik éjjel megsérül egy katona: húsz órája volt talpon, és elesett a gép mellett. Takács százados a naplóba ennyit írt: baleset, műszaki hiba. A dandár reggel hatkor olvassa a jelentést. Ha kiderül a kimerültség, vizsgálat indul, és pihenőt kell elrendelni — pont most, amikor minden kéz kell.</t>
        </is>
      </c>
      <c r="D18" s="9" t="inlineStr">
        <is>
          <t>A</t>
        </is>
      </c>
      <c r="E18" s="11" t="inlineStr">
        <is>
          <t>Kijavíttatod a naplót: kimerültség miatt történt. És azonnal kötelező pihenőt vezetsz be, még ha kevesebben is maradnak a gátnál.</t>
        </is>
      </c>
      <c r="F18" s="11" t="inlineStr">
        <is>
          <t>Moralitás detektor: napfény teszt</t>
        </is>
      </c>
      <c r="G18" s="11" t="inlineStr">
        <is>
          <t>A napfény teszt egyetlen kérdés: jól érezném magam, ha ez a döntés minden részletével együtt nyilvánosságra kerülne? Egy elhallgatott kimerültségi baleset ezt nem állná ki, főleg ha később valaki súlyosabban sérül. A pontos napló és a pihenő a helyes lépés, de a gátnál most kevesebb kéz marad.</t>
        </is>
      </c>
      <c r="H18" s="12" t="n">
        <v>2</v>
      </c>
      <c r="I18" s="12" t="n">
        <v>3</v>
      </c>
      <c r="J18" s="12" t="n">
        <v>-1</v>
      </c>
      <c r="K18" s="12" t="n">
        <v>3</v>
      </c>
      <c r="L18" s="12" t="n">
        <v>0</v>
      </c>
      <c r="M18" s="13">
        <f>ROUND(3*(0.22*H18+0.22*I18+0.2*J18+0.18*K18+0.18*L18),1)</f>
        <v/>
      </c>
      <c r="N18" s="14">
        <f>IF(COUNT(H18:L18)&lt;5,"hiányzó pont",IF(OR(MIN(H18:L18)&lt;-3,MAX(H18:L18)&gt;3),"−3…+3 közé",IF(COUNTIF(H18:L18,"&gt;0")=0,"kell pozitív is",IF(COUNTIF(H18:L18,"&lt;0")=0,"kell negatív is","rendben"))))</f>
        <v/>
      </c>
    </row>
    <row r="19" ht="76" customHeight="1">
      <c r="A19" s="15" t="n"/>
      <c r="B19" s="16" t="n"/>
      <c r="C19" s="17" t="n"/>
      <c r="D19" s="15" t="inlineStr">
        <is>
          <t>B</t>
        </is>
      </c>
      <c r="E19" s="17" t="inlineStr">
        <is>
          <t>A bejegyzés marad: most minden ember kell, egy vizsgálat most megbénítaná a védekezést. A kérdést a víz levonulása után rendezed.</t>
        </is>
      </c>
      <c r="F19" s="17" t="inlineStr">
        <is>
          <t>Diszkontálás</t>
        </is>
      </c>
      <c r="G19" s="17" t="inlineStr">
        <is>
          <t>A diszkontálás az a hajlamunk, hogy ami közel van, azt felértékeljük, ami távolabb, azt leértékeljük. A következő két nap védekezése most mindennél fontosabbnak látszik, a hamis bejegyzés következményei pedig távolinak. Csakhogy a kimerültség attól még ott van, és a következő baleset már nem biztos, hogy ilyen könnyű lesz.</t>
        </is>
      </c>
      <c r="H19" s="18" t="n">
        <v>1</v>
      </c>
      <c r="I19" s="18" t="n">
        <v>-3</v>
      </c>
      <c r="J19" s="18" t="n">
        <v>1</v>
      </c>
      <c r="K19" s="18" t="n">
        <v>-2</v>
      </c>
      <c r="L19" s="18" t="n">
        <v>-1</v>
      </c>
      <c r="M19" s="19">
        <f>ROUND(3*(0.22*H19+0.22*I19+0.2*J19+0.18*K19+0.18*L19),1)</f>
        <v/>
      </c>
      <c r="N19" s="20">
        <f>IF(COUNT(H19:L19)&lt;5,"hiányzó pont",IF(OR(MIN(H19:L19)&lt;-3,MAX(H19:L19)&gt;3),"−3…+3 közé",IF(COUNTIF(H19:L19,"&gt;0")=0,"kell pozitív is",IF(COUNTIF(H19:L19,"&lt;0")=0,"kell negatív is","rendben"))))</f>
        <v/>
      </c>
    </row>
    <row r="20" ht="76" customHeight="1">
      <c r="A20" s="15" t="n"/>
      <c r="B20" s="16" t="n"/>
      <c r="C20" s="17" t="n"/>
      <c r="D20" s="15" t="inlineStr">
        <is>
          <t>C</t>
        </is>
      </c>
      <c r="E20" s="17" t="inlineStr">
        <is>
          <t>Megkérdezed a századparancsnokokat és néhány katonát, mit gondolnak, és velük együtt döntitek el, hogyan legyen a pihenő és mi kerüljön a jelentésbe.</t>
        </is>
      </c>
      <c r="F20" s="17" t="inlineStr">
        <is>
          <t>Részvételi létra</t>
        </is>
      </c>
      <c r="G20" s="17" t="inlineStr">
        <is>
          <t>A részvételi létra azt mutatja, mennyire valódi a bevonás: puszta tájékoztatás, meghallgatás vagy tényleges beleszólás a döntésbe. Az állomány most beleszólhat abba, ami a saját biztonságáról szól, és ezt komolyan fogják venni. A jelentés tartalma viszont a te parancsnoki felelősséged, és ezt nem lehet szavazásra bocsátani.</t>
        </is>
      </c>
      <c r="H20" s="18" t="n">
        <v>0</v>
      </c>
      <c r="I20" s="18" t="n">
        <v>2</v>
      </c>
      <c r="J20" s="18" t="n">
        <v>1</v>
      </c>
      <c r="K20" s="18" t="n">
        <v>-2</v>
      </c>
      <c r="L20" s="18" t="n">
        <v>3</v>
      </c>
      <c r="M20" s="19">
        <f>ROUND(3*(0.22*H20+0.22*I20+0.2*J20+0.18*K20+0.18*L20),1)</f>
        <v/>
      </c>
      <c r="N20" s="20">
        <f>IF(COUNT(H20:L20)&lt;5,"hiányzó pont",IF(OR(MIN(H20:L20)&lt;-3,MAX(H20:L20)&gt;3),"−3…+3 közé",IF(COUNTIF(H20:L20,"&gt;0")=0,"kell pozitív is",IF(COUNTIF(H20:L20,"&lt;0")=0,"kell negatív is","rendben"))))</f>
        <v/>
      </c>
    </row>
    <row r="21" ht="76" customHeight="1">
      <c r="A21" s="15" t="n"/>
      <c r="B21" s="16" t="n"/>
      <c r="C21" s="17" t="n"/>
      <c r="D21" s="15" t="inlineStr">
        <is>
          <t>D</t>
        </is>
      </c>
      <c r="E21" s="17" t="inlineStr">
        <is>
          <t>A bejegyzés marad, de csendben bevezetsz egy pihenőrendet. A katonák kipihentebbek lesznek, és senkinek nem esik bántódása.</t>
        </is>
      </c>
      <c r="F21" s="17" t="inlineStr">
        <is>
          <t>Gátló racionalizálás: „senkinek sem árt”</t>
        </is>
      </c>
      <c r="G21" s="17" t="inlineStr">
        <is>
          <t>A gátló racionalizálások olyan érvek, amelyekkel egy kétes lépést magunk előtt elfogadhatóvá teszünk. A „senkinek sem árt” szerint ha nincs közvetlen károsult, a döntés rendben van. A pihenőrend valóban véd, de a hamis napló megmarad, és ha kiderül, a jó szándék már nem fog számítani.</t>
        </is>
      </c>
      <c r="H21" s="18" t="n">
        <v>-1</v>
      </c>
      <c r="I21" s="18" t="n">
        <v>-2</v>
      </c>
      <c r="J21" s="18" t="n">
        <v>2</v>
      </c>
      <c r="K21" s="18" t="n">
        <v>0</v>
      </c>
      <c r="L21" s="18" t="n">
        <v>1</v>
      </c>
      <c r="M21" s="19">
        <f>ROUND(3*(0.22*H21+0.22*I21+0.2*J21+0.18*K21+0.18*L21),1)</f>
        <v/>
      </c>
      <c r="N21" s="20">
        <f>IF(COUNT(H21:L21)&lt;5,"hiányzó pont",IF(OR(MIN(H21:L21)&lt;-3,MAX(H21:L21)&gt;3),"−3…+3 közé",IF(COUNTIF(H21:L21,"&gt;0")=0,"kell pozitív is",IF(COUNTIF(H21:L21,"&lt;0")=0,"kell negatív is","rendben"))))</f>
        <v/>
      </c>
    </row>
    <row r="22" ht="76" customHeight="1">
      <c r="A22" s="9" t="n">
        <v>6</v>
      </c>
      <c r="B22" s="10" t="inlineStr">
        <is>
          <t>A legelők</t>
        </is>
      </c>
      <c r="C22" s="11" t="inlineStr">
        <is>
          <t>A hatodik napon a felvízi falu két vezetője ül le veled a rádióasztalhoz. Ha átengeditek a vizet a legelőikre, a városi gát megmenekülhet. Beleegyeznek — de csak akkor, ha írásban garantálod a kártérítést. Ezt nem a te hatásköröd megígérni, a minisztériumi döntés pedig napokig tarthat.</t>
        </is>
      </c>
      <c r="D22" s="9" t="inlineStr">
        <is>
          <t>A</t>
        </is>
      </c>
      <c r="E22" s="11" t="inlineStr">
        <is>
          <t>Megígéred a kártérítést, és aláírod a papírt. A víz még ma éjjel a legelőkre mehet, a garanciát majd utólag elintézed.</t>
        </is>
      </c>
      <c r="F22" s="11" t="inlineStr">
        <is>
          <t>Hamisan pozitív hiba</t>
        </is>
      </c>
      <c r="G22" s="11" t="inlineStr">
        <is>
          <t>James March hamisan pozitív hibának nevezi, amikor a döntéshozó olyan kontrollban hisz, amely a valóságban nincs meg. A kártérítés nem a te kezedben van, mégis úgy írtad alá, mintha az lenne. A város ma éjjel biztonságosabb, de ha a minisztérium nem fizet, a falu soha többé nem fog hinni egy katonai aláírásnak.</t>
        </is>
      </c>
      <c r="H22" s="12" t="n">
        <v>-2</v>
      </c>
      <c r="I22" s="12" t="n">
        <v>-1</v>
      </c>
      <c r="J22" s="12" t="n">
        <v>2</v>
      </c>
      <c r="K22" s="12" t="n">
        <v>1</v>
      </c>
      <c r="L22" s="12" t="n">
        <v>2</v>
      </c>
      <c r="M22" s="13">
        <f>ROUND(3*(0.22*H22+0.22*I22+0.2*J22+0.18*K22+0.18*L22),1)</f>
        <v/>
      </c>
      <c r="N22" s="14">
        <f>IF(COUNT(H22:L22)&lt;5,"hiányzó pont",IF(OR(MIN(H22:L22)&lt;-3,MAX(H22:L22)&gt;3),"−3…+3 közé",IF(COUNTIF(H22:L22,"&gt;0")=0,"kell pozitív is",IF(COUNTIF(H22:L22,"&lt;0")=0,"kell negatív is","rendben"))))</f>
        <v/>
      </c>
    </row>
    <row r="23" ht="76" customHeight="1">
      <c r="A23" s="15" t="n"/>
      <c r="B23" s="16" t="n"/>
      <c r="C23" s="17" t="n"/>
      <c r="D23" s="15" t="inlineStr">
        <is>
          <t>B</t>
        </is>
      </c>
      <c r="E23" s="17" t="inlineStr">
        <is>
          <t>Életvédelmi helyzetre hivatkozva elrendeled a víz átengedését a falu beleegyezése nélkül. A törvény erre lehetőséget ad, de a falu bizalma elveszik.</t>
        </is>
      </c>
      <c r="F23" s="17" t="inlineStr">
        <is>
          <t>Autokratikus döntés</t>
        </is>
      </c>
      <c r="G23" s="17" t="inlineStr">
        <is>
          <t>Az autokratikus döntésnél a vezető egyedül dönt, az érintettek közreműködése nélkül. A jegyzet szerint ez válsághelyzetben, időhiányban indokolt lehet, és most valóban emberéletek a tét. A falu viszont nem partner, hanem elszenvedője lett a döntésnek, és ezt a következő árvíznél is fel fogja idézni.</t>
        </is>
      </c>
      <c r="H23" s="18" t="n">
        <v>1</v>
      </c>
      <c r="I23" s="18" t="n">
        <v>0</v>
      </c>
      <c r="J23" s="18" t="n">
        <v>2</v>
      </c>
      <c r="K23" s="18" t="n">
        <v>2</v>
      </c>
      <c r="L23" s="18" t="n">
        <v>-3</v>
      </c>
      <c r="M23" s="19">
        <f>ROUND(3*(0.22*H23+0.22*I23+0.2*J23+0.18*K23+0.18*L23),1)</f>
        <v/>
      </c>
      <c r="N23" s="20">
        <f>IF(COUNT(H23:L23)&lt;5,"hiányzó pont",IF(OR(MIN(H23:L23)&lt;-3,MAX(H23:L23)&gt;3),"−3…+3 közé",IF(COUNTIF(H23:L23,"&gt;0")=0,"kell pozitív is",IF(COUNTIF(H23:L23,"&lt;0")=0,"kell negatív is","rendben"))))</f>
        <v/>
      </c>
    </row>
    <row r="24" ht="76" customHeight="1">
      <c r="A24" s="15" t="n"/>
      <c r="B24" s="16" t="n"/>
      <c r="C24" s="17" t="n"/>
      <c r="D24" s="15" t="inlineStr">
        <is>
          <t>C</t>
        </is>
      </c>
      <c r="E24" s="17" t="inlineStr">
        <is>
          <t>Nem teszel semmit, amíg a minisztériumtól meg nem jön az írásos felhatalmazás. A szabályok szerint jársz el, de közben a víz tovább emelkedik.</t>
        </is>
      </c>
      <c r="F24" s="17" t="inlineStr">
        <is>
          <t>Passzív alkalmazkodás</t>
        </is>
      </c>
      <c r="G24" s="17" t="inlineStr">
        <is>
          <t>A jegyzet a döntéshozói magatartások között írja le a passzív alkalmazkodást: korlátozott hit abban, hogy befolyásolni tudjuk a dolgokat, és a meglévő szabályok, struktúrák elfogadása. Szabályosan jársz el, ezt senki nem vetheti a szemedre. Közben viszont éppen a legjobb lehetőség csúszik ki a kezedből.</t>
        </is>
      </c>
      <c r="H24" s="18" t="n">
        <v>2</v>
      </c>
      <c r="I24" s="18" t="n">
        <v>1</v>
      </c>
      <c r="J24" s="18" t="n">
        <v>-2</v>
      </c>
      <c r="K24" s="18" t="n">
        <v>-2</v>
      </c>
      <c r="L24" s="18" t="n">
        <v>-1</v>
      </c>
      <c r="M24" s="19">
        <f>ROUND(3*(0.22*H24+0.22*I24+0.2*J24+0.18*K24+0.18*L24),1)</f>
        <v/>
      </c>
      <c r="N24" s="20">
        <f>IF(COUNT(H24:L24)&lt;5,"hiányzó pont",IF(OR(MIN(H24:L24)&lt;-3,MAX(H24:L24)&gt;3),"−3…+3 közé",IF(COUNTIF(H24:L24,"&gt;0")=0,"kell pozitív is",IF(COUNTIF(H24:L24,"&lt;0")=0,"kell negatív is","rendben"))))</f>
        <v/>
      </c>
    </row>
    <row r="25" ht="76" customHeight="1">
      <c r="A25" s="15" t="n"/>
      <c r="B25" s="16" t="n"/>
      <c r="C25" s="17" t="n"/>
      <c r="D25" s="15" t="inlineStr">
        <is>
          <t>D</t>
        </is>
      </c>
      <c r="E25" s="17" t="inlineStr">
        <is>
          <t>Őszintén elmondod, mit tudsz megígérni és mit nem, és a kérésüket azonnal továbbítod a minisztériumnak. Lehet, hogy így nemet mondanak, és elveszítitek a legjobb esélyt.</t>
        </is>
      </c>
      <c r="F25" s="17" t="inlineStr">
        <is>
          <t>Mintzberg szóvivő szerepe</t>
        </is>
      </c>
      <c r="G25" s="17" t="inlineStr">
        <is>
          <t>Mintzberg szóvivő szerepében a vezető a kívülállóknak pontosan elmondja, mit tesz a szervezete és mit nem. Az őszinte „ezt nem ígérhetem meg” hitelesebb minden garanciánál, és a falu is tudja, mire számíthat. Ennek ára, hogy a megállapodás elcsúszhat, és a víz közben nem vár.</t>
        </is>
      </c>
      <c r="H25" s="18" t="n">
        <v>2</v>
      </c>
      <c r="I25" s="18" t="n">
        <v>3</v>
      </c>
      <c r="J25" s="18" t="n">
        <v>-1</v>
      </c>
      <c r="K25" s="18" t="n">
        <v>1</v>
      </c>
      <c r="L25" s="18" t="n">
        <v>1</v>
      </c>
      <c r="M25" s="19">
        <f>ROUND(3*(0.22*H25+0.22*I25+0.2*J25+0.18*K25+0.18*L25),1)</f>
        <v/>
      </c>
      <c r="N25" s="20">
        <f>IF(COUNT(H25:L25)&lt;5,"hiányzó pont",IF(OR(MIN(H25:L25)&lt;-3,MAX(H25:L25)&gt;3),"−3…+3 közé",IF(COUNTIF(H25:L25,"&gt;0")=0,"kell pozitív is",IF(COUNTIF(H25:L25,"&lt;0")=0,"kell negatív is","rendben"))))</f>
        <v/>
      </c>
    </row>
    <row r="26" ht="76" customHeight="1">
      <c r="A26" s="9" t="n">
        <v>7</v>
      </c>
      <c r="B26" s="10" t="inlineStr">
        <is>
          <t>Hét kilencven</t>
        </is>
      </c>
      <c r="C26" s="11" t="inlineStr">
        <is>
          <t>A hetedik este új előrejelzés érkezik: hajnalra hét méter kilencven. A tervasztalon három lehetőség fekszik: egész éjjel magasítjátok a városi gátat homokzsákkal; kitelepítitek a város alsó részét; vagy mindent a felvízi tározásra tesztek. A tisztjeid mind mást javasolnak, és kevés az idő.</t>
        </is>
      </c>
      <c r="D26" s="9" t="inlineStr">
        <is>
          <t>A</t>
        </is>
      </c>
      <c r="E26" s="11" t="inlineStr">
        <is>
          <t>A kitelepítést rendeled el: ha az emberek biztonságban vannak, a házakat még meg lehet védeni vagy újjáépíteni. A pánik és a kifosztástól való félelem viszont a te számládra megy.</t>
        </is>
      </c>
      <c r="F26" s="11" t="inlineStr">
        <is>
          <t>PrOACT-modell: a célok</t>
        </is>
      </c>
      <c r="G26" s="11" t="inlineStr">
        <is>
          <t>A PrOACT-modell második lépése a célok tisztázása: mit akarunk mindenképp elérni, és mit akarunk elkerülni? Te kimondtad, hogy az emberélet minden más cél előtt áll, és ehhez igazítottad a döntést. Ez világos rangsor, de ára is van: elhagyott házak, dühös lakók, és egy éjszaka, amelyet a város sokáig nem felejt.</t>
        </is>
      </c>
      <c r="H26" s="12" t="n">
        <v>1</v>
      </c>
      <c r="I26" s="12" t="n">
        <v>2</v>
      </c>
      <c r="J26" s="12" t="n">
        <v>2</v>
      </c>
      <c r="K26" s="12" t="n">
        <v>3</v>
      </c>
      <c r="L26" s="12" t="n">
        <v>-2</v>
      </c>
      <c r="M26" s="13">
        <f>ROUND(3*(0.22*H26+0.22*I26+0.2*J26+0.18*K26+0.18*L26),1)</f>
        <v/>
      </c>
      <c r="N26" s="14">
        <f>IF(COUNT(H26:L26)&lt;5,"hiányzó pont",IF(OR(MIN(H26:L26)&lt;-3,MAX(H26:L26)&gt;3),"−3…+3 közé",IF(COUNTIF(H26:L26,"&gt;0")=0,"kell pozitív is",IF(COUNTIF(H26:L26,"&lt;0")=0,"kell negatív is","rendben"))))</f>
        <v/>
      </c>
    </row>
    <row r="27" ht="90" customHeight="1">
      <c r="A27" s="15" t="n"/>
      <c r="B27" s="16" t="n"/>
      <c r="C27" s="17" t="n"/>
      <c r="D27" s="15" t="inlineStr">
        <is>
          <t>B</t>
        </is>
      </c>
      <c r="E27" s="17" t="inlineStr">
        <is>
          <t>Mindhárom tervet egyszerre indítod el, szétosztva az embereket. Így egyik lehetőségről sem mondasz le, de mindegyikre kevesebb erő jut.</t>
        </is>
      </c>
      <c r="F27" s="17" t="inlineStr">
        <is>
          <t>Mintzberg erőforrás-elosztó szerepe</t>
        </is>
      </c>
      <c r="G27" s="17" t="inlineStr">
        <is>
          <t>Mintzberg erőforrás-elosztó szerepében a vezető dönti el, hová kerül az ember és az eszköz, és ezzel alapvetően meghatározza, mire képesek az egységek. Mindhárom tervre adni valamennyit biztonságosnak tűnik, és senki nem érzi mellőzöttnek magát. Könnyen lehet viszont, hogy hajnalra egyik terv sem kap annyi erőt, amennyi a sikerhez kellett volna.</t>
        </is>
      </c>
      <c r="H27" s="18" t="n">
        <v>0</v>
      </c>
      <c r="I27" s="18" t="n">
        <v>1</v>
      </c>
      <c r="J27" s="18" t="n">
        <v>-2</v>
      </c>
      <c r="K27" s="18" t="n">
        <v>1</v>
      </c>
      <c r="L27" s="18" t="n">
        <v>1</v>
      </c>
      <c r="M27" s="19">
        <f>ROUND(3*(0.22*H27+0.22*I27+0.2*J27+0.18*K27+0.18*L27),1)</f>
        <v/>
      </c>
      <c r="N27" s="20">
        <f>IF(COUNT(H27:L27)&lt;5,"hiányzó pont",IF(OR(MIN(H27:L27)&lt;-3,MAX(H27:L27)&gt;3),"−3…+3 közé",IF(COUNTIF(H27:L27,"&gt;0")=0,"kell pozitív is",IF(COUNTIF(H27:L27,"&lt;0")=0,"kell negatív is","rendben"))))</f>
        <v/>
      </c>
    </row>
    <row r="28" ht="76" customHeight="1">
      <c r="A28" s="15" t="n"/>
      <c r="B28" s="16" t="n"/>
      <c r="C28" s="17" t="n"/>
      <c r="D28" s="15" t="inlineStr">
        <is>
          <t>C</t>
        </is>
      </c>
      <c r="E28" s="17" t="inlineStr">
        <is>
          <t>Megkéred a tiszteket, hogy tíz percig mindenki egyedül írja le, mit tart jónak és miért, és csak utána beszélitek meg. Tíz perc éjjel sok idő.</t>
        </is>
      </c>
      <c r="F28" s="17" t="inlineStr">
        <is>
          <t>Névleges csoport módszer</t>
        </is>
      </c>
      <c r="G28" s="17" t="inlineStr">
        <is>
          <t>A névleges csoport módszerben a tagok először egymástól függetlenül gondolkodnak, és csak utána osztják meg az ötleteiket. Így nem a rangidős vagy a leghangosabb érvei köré rendeződik a vita, és a csendesebb tisztek is megszólalnak. Az ára a tíz perc, ami ebben a helyzetben valódi áldozat.</t>
        </is>
      </c>
      <c r="H28" s="18" t="n">
        <v>-1</v>
      </c>
      <c r="I28" s="18" t="n">
        <v>2</v>
      </c>
      <c r="J28" s="18" t="n">
        <v>2</v>
      </c>
      <c r="K28" s="18" t="n">
        <v>0</v>
      </c>
      <c r="L28" s="18" t="n">
        <v>2</v>
      </c>
      <c r="M28" s="19">
        <f>ROUND(3*(0.22*H28+0.22*I28+0.2*J28+0.18*K28+0.18*L28),1)</f>
        <v/>
      </c>
      <c r="N28" s="20">
        <f>IF(COUNT(H28:L28)&lt;5,"hiányzó pont",IF(OR(MIN(H28:L28)&lt;-3,MAX(H28:L28)&gt;3),"−3…+3 közé",IF(COUNTIF(H28:L28,"&gt;0")=0,"kell pozitív is",IF(COUNTIF(H28:L28,"&lt;0")=0,"kell negatív is","rendben"))))</f>
        <v/>
      </c>
    </row>
    <row r="29" ht="76" customHeight="1">
      <c r="A29" s="15" t="n"/>
      <c r="B29" s="16" t="n"/>
      <c r="C29" s="17" t="n"/>
      <c r="D29" s="15" t="inlineStr">
        <is>
          <t>D</t>
        </is>
      </c>
      <c r="E29" s="17" t="inlineStr">
        <is>
          <t>A tapasztalatodra hagyatkozol: a homokzsákos magasítás eddig minden árvíznél bevált, és ezt ismerik a katonák is.</t>
        </is>
      </c>
      <c r="F29" s="17" t="inlineStr">
        <is>
          <t>Sémák</t>
        </is>
      </c>
      <c r="G29" s="17" t="inlineStr">
        <is>
          <t>A jegyzet szerint a sémák a korábbi tapasztalatokból épülő gondolkodási minták, amelyek segítenek gyorsan dönteni, de makaccsá is válhatnak. A homokzsák bevált séma, és a katonák ismerik a feladatot. Csakhogy ez az árhullám magasabb minden eddiginél, és a séma éppen azt nem mutatja meg, miben más ez az éjszaka.</t>
        </is>
      </c>
      <c r="H29" s="18" t="n">
        <v>2</v>
      </c>
      <c r="I29" s="18" t="n">
        <v>0</v>
      </c>
      <c r="J29" s="18" t="n">
        <v>-2</v>
      </c>
      <c r="K29" s="18" t="n">
        <v>1</v>
      </c>
      <c r="L29" s="18" t="n">
        <v>-1</v>
      </c>
      <c r="M29" s="19">
        <f>ROUND(3*(0.22*H29+0.22*I29+0.2*J29+0.18*K29+0.18*L29),1)</f>
        <v/>
      </c>
      <c r="N29" s="20">
        <f>IF(COUNT(H29:L29)&lt;5,"hiányzó pont",IF(OR(MIN(H29:L29)&lt;-3,MAX(H29:L29)&gt;3),"−3…+3 közé",IF(COUNTIF(H29:L29,"&gt;0")=0,"kell pozitív is",IF(COUNTIF(H29:L29,"&lt;0")=0,"kell negatív is","rendben"))))</f>
        <v/>
      </c>
    </row>
    <row r="30" ht="76" customHeight="1">
      <c r="A30" s="9" t="n">
        <v>8</v>
      </c>
      <c r="B30" s="10" t="inlineStr">
        <is>
          <t>Bakos bácsi</t>
        </is>
      </c>
      <c r="C30" s="11" t="inlineStr">
        <is>
          <t>Hajnali kettőkor Bakos Feri bácsi, a nyugdíjas gátőr kivezet a régi töltéshez. A töltés tövében tiszta víz szivárog. Varga mérnök szerint ez csak esővíz, nincs vele teendő. Az öreg ragaszkodik hozzá: 1970-ben pontosan így kezdődött a szakadás. Emberből és homokzsákból is kevés van.</t>
        </is>
      </c>
      <c r="D30" s="9" t="inlineStr">
        <is>
          <t>A</t>
        </is>
      </c>
      <c r="E30" s="11" t="inlineStr">
        <is>
          <t>Vargára hallgatsz: ő a mérnök, az öreg csak aggódik. Megköszönöd a figyelmességét, és hazaküldöd.</t>
        </is>
      </c>
      <c r="F30" s="11" t="inlineStr">
        <is>
          <t>Ezredes-hatás</t>
        </is>
      </c>
      <c r="G30" s="11" t="inlineStr">
        <is>
          <t>Az ezredes-hatás az a hajlamunk, hogy a magasabb beosztású vagy nagyobb tekintélyű ember szavát hitelesebbnek tartsuk. Varga szakember, és gyakran igaza van — de a beosztása önmagában nem bizonyíték. Az erőid a városi gátnál maradnak, egy lehetséges figyelmeztetés viszont válasz nélkül maradt.</t>
        </is>
      </c>
      <c r="H30" s="12" t="n">
        <v>2</v>
      </c>
      <c r="I30" s="12" t="n">
        <v>0</v>
      </c>
      <c r="J30" s="12" t="n">
        <v>-2</v>
      </c>
      <c r="K30" s="12" t="n">
        <v>-1</v>
      </c>
      <c r="L30" s="12" t="n">
        <v>-2</v>
      </c>
      <c r="M30" s="13">
        <f>ROUND(3*(0.22*H30+0.22*I30+0.2*J30+0.18*K30+0.18*L30),1)</f>
        <v/>
      </c>
      <c r="N30" s="14">
        <f>IF(COUNT(H30:L30)&lt;5,"hiányzó pont",IF(OR(MIN(H30:L30)&lt;-3,MAX(H30:L30)&gt;3),"−3…+3 közé",IF(COUNTIF(H30:L30,"&gt;0")=0,"kell pozitív is",IF(COUNTIF(H30:L30,"&lt;0")=0,"kell negatív is","rendben"))))</f>
        <v/>
      </c>
    </row>
    <row r="31" ht="90" customHeight="1">
      <c r="A31" s="15" t="n"/>
      <c r="B31" s="16" t="n"/>
      <c r="C31" s="17" t="n"/>
      <c r="D31" s="15" t="inlineStr">
        <is>
          <t>B</t>
        </is>
      </c>
      <c r="E31" s="17" t="inlineStr">
        <is>
          <t>Mintát vetetsz a vízből, figyelőőrt állítasz, és fél óra múlva döntesz: ha a víz zavaros lesz, azonnal mentek. Fél óra ilyenkor hosszú idő.</t>
        </is>
      </c>
      <c r="F31" s="17" t="inlineStr">
        <is>
          <t>Az információhiány kiegészítése</t>
        </is>
      </c>
      <c r="G31" s="17" t="inlineStr">
        <is>
          <t>A jegyzet szerint ha hiányzik egy információ, hajlamosak vagyunk feltevésekkel vagy pletykákkal kitölteni a hézagot. Te nem Vargának vagy Bakos bácsinak adtál igazat, hanem ténnyel pótoltad a hiányzó darabot: ha a szivárgó víz zavaros, a töltés belseje mosódik. Ez a legjobb információ, amit szerezhetsz, de fél órát tart, és addig te tartod a kockázatot.</t>
        </is>
      </c>
      <c r="H31" s="18" t="n">
        <v>1</v>
      </c>
      <c r="I31" s="18" t="n">
        <v>1</v>
      </c>
      <c r="J31" s="18" t="n">
        <v>3</v>
      </c>
      <c r="K31" s="18" t="n">
        <v>-1</v>
      </c>
      <c r="L31" s="18" t="n">
        <v>1</v>
      </c>
      <c r="M31" s="19">
        <f>ROUND(3*(0.22*H31+0.22*I31+0.2*J31+0.18*K31+0.18*L31),1)</f>
        <v/>
      </c>
      <c r="N31" s="20">
        <f>IF(COUNT(H31:L31)&lt;5,"hiányzó pont",IF(OR(MIN(H31:L31)&lt;-3,MAX(H31:L31)&gt;3),"−3…+3 közé",IF(COUNTIF(H31:L31,"&gt;0")=0,"kell pozitív is",IF(COUNTIF(H31:L31,"&lt;0")=0,"kell negatív is","rendben"))))</f>
        <v/>
      </c>
    </row>
    <row r="32" ht="76" customHeight="1">
      <c r="A32" s="15" t="n"/>
      <c r="B32" s="16" t="n"/>
      <c r="C32" s="17" t="n"/>
      <c r="D32" s="15" t="inlineStr">
        <is>
          <t>C</t>
        </is>
      </c>
      <c r="E32" s="17" t="inlineStr">
        <is>
          <t>Bakos bácsira hallgatsz: odaküldesz egy szakaszt homokzsákkal, Varga ellenkezése ellenére. A városi gát ezzel gyengébb lesz.</t>
        </is>
      </c>
      <c r="F32" s="17" t="inlineStr">
        <is>
          <t>Sztereotipizálás</t>
        </is>
      </c>
      <c r="G32" s="17" t="inlineStr">
        <is>
          <t>A sztereotipizálás az, amikor valakit a csoport alapján ítélünk meg, ahová tartozik — például egy nyugdíjast „aggódó öregnek”. Te nem estél ebbe a csapdába: Bakos bácsi ötven év tapasztalatát adatnak tekintetted. Ennek ára, hogy a mérnököt felülbírálod, és egy erősen fenyegetett gátról vonsz el embert.</t>
        </is>
      </c>
      <c r="H32" s="18" t="n">
        <v>-1</v>
      </c>
      <c r="I32" s="18" t="n">
        <v>1</v>
      </c>
      <c r="J32" s="18" t="n">
        <v>1</v>
      </c>
      <c r="K32" s="18" t="n">
        <v>2</v>
      </c>
      <c r="L32" s="18" t="n">
        <v>2</v>
      </c>
      <c r="M32" s="19">
        <f>ROUND(3*(0.22*H32+0.22*I32+0.2*J32+0.18*K32+0.18*L32),1)</f>
        <v/>
      </c>
      <c r="N32" s="20">
        <f>IF(COUNT(H32:L32)&lt;5,"hiányzó pont",IF(OR(MIN(H32:L32)&lt;-3,MAX(H32:L32)&gt;3),"−3…+3 közé",IF(COUNTIF(H32:L32,"&gt;0")=0,"kell pozitív is",IF(COUNTIF(H32:L32,"&lt;0")=0,"kell negatív is","rendben"))))</f>
        <v/>
      </c>
    </row>
    <row r="33" ht="76" customHeight="1">
      <c r="A33" s="15" t="n"/>
      <c r="B33" s="16" t="n"/>
      <c r="C33" s="17" t="n"/>
      <c r="D33" s="15" t="inlineStr">
        <is>
          <t>D</t>
        </is>
      </c>
      <c r="E33" s="17" t="inlineStr">
        <is>
          <t>Kiküldöd Bakos bácsit és Varga mérnököt is a töltésre, hogy nézzék meg együtt, és egyezzenek meg. Te a városi gátnál maradsz.</t>
        </is>
      </c>
      <c r="F33" s="17" t="inlineStr">
        <is>
          <t>Problémakerülő magatartás</t>
        </is>
      </c>
      <c r="G33" s="17" t="inlineStr">
        <is>
          <t>A jegyzet háromféle vezetői stratégiát különít el: a problémakeresőt, a problémamegoldót és a problémakerülőt. A két ember közös helyszíni bejárása jó ötlet, és talán meg is egyeznek. A döntés súlya viszont nem az övék: ha nem jutnak dűlőre, a vitájuk alatt a töltés nem vár.</t>
        </is>
      </c>
      <c r="H33" s="18" t="n">
        <v>0</v>
      </c>
      <c r="I33" s="18" t="n">
        <v>1</v>
      </c>
      <c r="J33" s="18" t="n">
        <v>0</v>
      </c>
      <c r="K33" s="18" t="n">
        <v>-3</v>
      </c>
      <c r="L33" s="18" t="n">
        <v>2</v>
      </c>
      <c r="M33" s="19">
        <f>ROUND(3*(0.22*H33+0.22*I33+0.2*J33+0.18*K33+0.18*L33),1)</f>
        <v/>
      </c>
      <c r="N33" s="20">
        <f>IF(COUNT(H33:L33)&lt;5,"hiányzó pont",IF(OR(MIN(H33:L33)&lt;-3,MAX(H33:L33)&gt;3),"−3…+3 közé",IF(COUNTIF(H33:L33,"&gt;0")=0,"kell pozitív is",IF(COUNTIF(H33:L33,"&lt;0")=0,"kell negatív is","rendben"))))</f>
        <v/>
      </c>
    </row>
    <row r="34" ht="76" customHeight="1">
      <c r="A34" s="9" t="n">
        <v>9</v>
      </c>
      <c r="B34" s="10" t="inlineStr">
        <is>
          <t>Húsz ház</t>
        </is>
      </c>
      <c r="C34" s="11" t="inlineStr">
        <is>
          <t>Hajnali fél ötkor a régi töltés egy szakaszon átszakad. A víz a mezőkre és a város szélére ömlik: senki nem hal meg, de húsz ház víz alá kerül. Reggel az állomány sorakozik. Kimerültek, megrendültek, és már terjed a hír, hogy a parancsnokság hibázott. A városi gát még tart, a munka folytatódik.</t>
        </is>
      </c>
      <c r="D34" s="9" t="inlineStr">
        <is>
          <t>A</t>
        </is>
      </c>
      <c r="E34" s="11" t="inlineStr">
        <is>
          <t>A víz erejét hangsúlyozod: ezt senki nem akadályozhatta volna meg, mindenki a legjobbat adta. Ez megnyugtatja a katonákat.</t>
        </is>
      </c>
      <c r="F34" s="11" t="inlineStr">
        <is>
          <t>Énmegerősítő attribúció</t>
        </is>
      </c>
      <c r="G34" s="11" t="inlineStr">
        <is>
          <t>Az énmegerősítő attribúció az a hajlamunk, hogy a kudarcot a körülményeknek, a sikert saját magunknak tulajdonítsuk. A megnyugtatás most valóban kell, és a víz ereje valóban óriási volt. De ha a döntések szerepe ki sem mondódik, az állomány a pletykából fogja megtudni, amit tőled nem hallott.</t>
        </is>
      </c>
      <c r="H34" s="12" t="n">
        <v>1</v>
      </c>
      <c r="I34" s="12" t="n">
        <v>-2</v>
      </c>
      <c r="J34" s="12" t="n">
        <v>-1</v>
      </c>
      <c r="K34" s="12" t="n">
        <v>-3</v>
      </c>
      <c r="L34" s="12" t="n">
        <v>1</v>
      </c>
      <c r="M34" s="13">
        <f>ROUND(3*(0.22*H34+0.22*I34+0.2*J34+0.18*K34+0.18*L34),1)</f>
        <v/>
      </c>
      <c r="N34" s="14">
        <f>IF(COUNT(H34:L34)&lt;5,"hiányzó pont",IF(OR(MIN(H34:L34)&lt;-3,MAX(H34:L34)&gt;3),"−3…+3 közé",IF(COUNTIF(H34:L34,"&gt;0")=0,"kell pozitív is",IF(COUNTIF(H34:L34,"&lt;0")=0,"kell negatív is","rendben"))))</f>
        <v/>
      </c>
    </row>
    <row r="35" ht="76" customHeight="1">
      <c r="A35" s="15" t="n"/>
      <c r="B35" s="16" t="n"/>
      <c r="C35" s="17" t="n"/>
      <c r="D35" s="15" t="inlineStr">
        <is>
          <t>B</t>
        </is>
      </c>
      <c r="E35" s="17" t="inlineStr">
        <is>
          <t>Nem tartasz beszédet: mindenki azonnal vissza a gátra, most nincs idő magyarázkodni. A szóbeszéd közben tovább terjed.</t>
        </is>
      </c>
      <c r="F35" s="17" t="inlineStr">
        <is>
          <t>Snowden–Boone: kaotikus helyzet</t>
        </is>
      </c>
      <c r="G35" s="17" t="inlineStr">
        <is>
          <t>Snowden és Boone szerint kaotikus helyzetben nincs idő elemezni: először cselekedni kell, hogy a helyzet stabilizálódjon, és csak utána érdemes keresni az okokat. A városi gát tartása valóban ilyen feladat. Csakhogy a hallgatás is üzenet, és a kimerült emberek fejében a pletyka tölti ki az űrt.</t>
        </is>
      </c>
      <c r="H35" s="18" t="n">
        <v>1</v>
      </c>
      <c r="I35" s="18" t="n">
        <v>-2</v>
      </c>
      <c r="J35" s="18" t="n">
        <v>2</v>
      </c>
      <c r="K35" s="18" t="n">
        <v>0</v>
      </c>
      <c r="L35" s="18" t="n">
        <v>-1</v>
      </c>
      <c r="M35" s="19">
        <f>ROUND(3*(0.22*H35+0.22*I35+0.2*J35+0.18*K35+0.18*L35),1)</f>
        <v/>
      </c>
      <c r="N35" s="20">
        <f>IF(COUNT(H35:L35)&lt;5,"hiányzó pont",IF(OR(MIN(H35:L35)&lt;-3,MAX(H35:L35)&gt;3),"−3…+3 közé",IF(COUNTIF(H35:L35,"&gt;0")=0,"kell pozitív is",IF(COUNTIF(H35:L35,"&lt;0")=0,"kell negatív is","rendben"))))</f>
        <v/>
      </c>
    </row>
    <row r="36" ht="62" customHeight="1">
      <c r="A36" s="15" t="n"/>
      <c r="B36" s="16" t="n"/>
      <c r="C36" s="17" t="n"/>
      <c r="D36" s="15" t="inlineStr">
        <is>
          <t>C</t>
        </is>
      </c>
      <c r="E36" s="17" t="inlineStr">
        <is>
          <t>Előbb a századparancsnokoktól kérdezed meg, mit hallanak az emberektől, és csak utána szólsz az állományhoz. Addig mindenki vár.</t>
        </is>
      </c>
      <c r="F36" s="17" t="inlineStr">
        <is>
          <t>Mintzberg információgyűjtő szerepe</t>
        </is>
      </c>
      <c r="G36" s="17" t="inlineStr">
        <is>
          <t>Mintzberg információgyűjtő szerepében a vezető a belső információáramlás központja. Ha tudod, mit beszélnek az emberek, pontosan azokra a kérdésekre válaszolhatsz, amelyek bennük vannak. Az ára a várakozás egy olyan reggelen, amikor minden perc a gáté.</t>
        </is>
      </c>
      <c r="H36" s="18" t="n">
        <v>-1</v>
      </c>
      <c r="I36" s="18" t="n">
        <v>1</v>
      </c>
      <c r="J36" s="18" t="n">
        <v>2</v>
      </c>
      <c r="K36" s="18" t="n">
        <v>0</v>
      </c>
      <c r="L36" s="18" t="n">
        <v>2</v>
      </c>
      <c r="M36" s="19">
        <f>ROUND(3*(0.22*H36+0.22*I36+0.2*J36+0.18*K36+0.18*L36),1)</f>
        <v/>
      </c>
      <c r="N36" s="20">
        <f>IF(COUNT(H36:L36)&lt;5,"hiányzó pont",IF(OR(MIN(H36:L36)&lt;-3,MAX(H36:L36)&gt;3),"−3…+3 közé",IF(COUNTIF(H36:L36,"&gt;0")=0,"kell pozitív is",IF(COUNTIF(H36:L36,"&lt;0")=0,"kell negatív is","rendben"))))</f>
        <v/>
      </c>
    </row>
    <row r="37" ht="90" customHeight="1">
      <c r="A37" s="15" t="n"/>
      <c r="B37" s="16" t="n"/>
      <c r="C37" s="17" t="n"/>
      <c r="D37" s="15" t="inlineStr">
        <is>
          <t>D</t>
        </is>
      </c>
      <c r="E37" s="17" t="inlineStr">
        <is>
          <t>Kiállsz eléjük, és elmondod, mi történt, mi volt benne a te döntésed, és mi a következő huszonnégy óra feladata.</t>
        </is>
      </c>
      <c r="F37" s="17" t="inlineStr">
        <is>
          <t>Mintzberg vezető szerepe</t>
        </is>
      </c>
      <c r="G37" s="17" t="inlineStr">
        <is>
          <t>Mintzberg vezető szerepe a vezető és a beosztottai közötti viszonyról szól, és ez hatja át az egész vezetői munkát. Ha a nehéz pillanatban is kiállsz, és vállalod a saját részedet, az állomány tudja, hogy a parancsnokának szavára lehet építeni. A beismerés viszont a dandárnál ellened is fordítható, és egy darabig megingathatja a parancsnoki lánc önbizalmát.</t>
        </is>
      </c>
      <c r="H37" s="18" t="n">
        <v>-1</v>
      </c>
      <c r="I37" s="18" t="n">
        <v>3</v>
      </c>
      <c r="J37" s="18" t="n">
        <v>1</v>
      </c>
      <c r="K37" s="18" t="n">
        <v>3</v>
      </c>
      <c r="L37" s="18" t="n">
        <v>1</v>
      </c>
      <c r="M37" s="19">
        <f>ROUND(3*(0.22*H37+0.22*I37+0.2*J37+0.18*K37+0.18*L37),1)</f>
        <v/>
      </c>
      <c r="N37" s="20">
        <f>IF(COUNT(H37:L37)&lt;5,"hiányzó pont",IF(OR(MIN(H37:L37)&lt;-3,MAX(H37:L37)&gt;3),"−3…+3 közé",IF(COUNTIF(H37:L37,"&gt;0")=0,"kell pozitív is",IF(COUNTIF(H37:L37,"&lt;0")=0,"kell negatív is","rendben"))))</f>
        <v/>
      </c>
    </row>
    <row r="38" ht="76" customHeight="1">
      <c r="A38" s="9" t="n">
        <v>10</v>
      </c>
      <c r="B38" s="10" t="inlineStr">
        <is>
          <t>A vizsgálat</t>
        </is>
      </c>
      <c r="C38" s="11" t="inlineStr">
        <is>
          <t>A tizenkettedik napon a víz levonul. A dandár vizsgálóbizottsága a te értékelésedet kéri: mi történt, és ki miért felel. A naplóbejegyzés, a régi töltés és a gép körüli döntések mind benne lesznek. Amit leírsz, emberek pályáját döntheti el — a sajátodat is.</t>
        </is>
      </c>
      <c r="D38" s="9" t="inlineStr">
        <is>
          <t>A</t>
        </is>
      </c>
      <c r="E38" s="11" t="inlineStr">
        <is>
          <t>Takács századost megnevezed a napló miatt, a saját döntéseidet viszont nem részletezed. Az ő hibája egyértelmű és bizonyítható.</t>
        </is>
      </c>
      <c r="F38" s="11" t="inlineStr">
        <is>
          <t>Alapvető attribúciós hiba</t>
        </is>
      </c>
      <c r="G38" s="11" t="inlineStr">
        <is>
          <t>Az alapvető attribúciós hiba az a hajlamunk, hogy mások hibáját a jellemükkel, a sajátunkat a körülményekkel magyarázzuk. Takács hibája valódi, de ő is ugyanabban a kimerítő helyzetben dolgozott, mint mindenki. Ha csak őt nevezed meg, a jelentés igaz lesz — és mégis egyoldalú.</t>
        </is>
      </c>
      <c r="H38" s="12" t="n">
        <v>1</v>
      </c>
      <c r="I38" s="12" t="n">
        <v>-1</v>
      </c>
      <c r="J38" s="12" t="n">
        <v>-1</v>
      </c>
      <c r="K38" s="12" t="n">
        <v>-3</v>
      </c>
      <c r="L38" s="12" t="n">
        <v>-1</v>
      </c>
      <c r="M38" s="13">
        <f>ROUND(3*(0.22*H38+0.22*I38+0.2*J38+0.18*K38+0.18*L38),1)</f>
        <v/>
      </c>
      <c r="N38" s="14">
        <f>IF(COUNT(H38:L38)&lt;5,"hiányzó pont",IF(OR(MIN(H38:L38)&lt;-3,MAX(H38:L38)&gt;3),"−3…+3 közé",IF(COUNTIF(H38:L38,"&gt;0")=0,"kell pozitív is",IF(COUNTIF(H38:L38,"&lt;0")=0,"kell negatív is","rendben"))))</f>
        <v/>
      </c>
    </row>
    <row r="39" ht="90" customHeight="1">
      <c r="A39" s="15" t="n"/>
      <c r="B39" s="16" t="n"/>
      <c r="C39" s="17" t="n"/>
      <c r="D39" s="15" t="inlineStr">
        <is>
          <t>B</t>
        </is>
      </c>
      <c r="E39" s="17" t="inlineStr">
        <is>
          <t>Mindent leírsz, a saját hibáidat is, névvel és döntéssel együtt. A jelentés így hiteles, de a karriered is benne van.</t>
        </is>
      </c>
      <c r="F39" s="17" t="inlineStr">
        <is>
          <t>Reflektív gondolkodás és a következtetési létra</t>
        </is>
      </c>
      <c r="G39" s="17" t="inlineStr">
        <is>
          <t>A következtetési létra azt mutatja be, milyen gyorsan jutunk a tényekből feltevésekhez és döntésekhez; a reflektív gondolkodás ezen a létrán való tudatos lemászás. Ha a saját feltevéseidet is végigveszed, a jelentés tanulsággá válik, nem vádirattá. Ennek ára a saját pályád kockázata, és az, hogy a feletteseid ezt nem mindig fogják értékelni.</t>
        </is>
      </c>
      <c r="H39" s="18" t="n">
        <v>-1</v>
      </c>
      <c r="I39" s="18" t="n">
        <v>3</v>
      </c>
      <c r="J39" s="18" t="n">
        <v>2</v>
      </c>
      <c r="K39" s="18" t="n">
        <v>3</v>
      </c>
      <c r="L39" s="18" t="n">
        <v>0</v>
      </c>
      <c r="M39" s="19">
        <f>ROUND(3*(0.22*H39+0.22*I39+0.2*J39+0.18*K39+0.18*L39),1)</f>
        <v/>
      </c>
      <c r="N39" s="20">
        <f>IF(COUNT(H39:L39)&lt;5,"hiányzó pont",IF(OR(MIN(H39:L39)&lt;-3,MAX(H39:L39)&gt;3),"−3…+3 közé",IF(COUNTIF(H39:L39,"&gt;0")=0,"kell pozitív is",IF(COUNTIF(H39:L39,"&lt;0")=0,"kell negatív is","rendben"))))</f>
        <v/>
      </c>
    </row>
    <row r="40" ht="76" customHeight="1">
      <c r="A40" s="15" t="n"/>
      <c r="B40" s="16" t="n"/>
      <c r="C40" s="17" t="n"/>
      <c r="D40" s="15" t="inlineStr">
        <is>
          <t>C</t>
        </is>
      </c>
      <c r="E40" s="17" t="inlineStr">
        <is>
          <t>A jelentést a tisztjeiddel közösen írjátok meg, és a polgármestert, a gazdákat és Bakos bácsit is meghallgatjátok. Így teljesebb lesz a kép, de a felelősség is szétterül.</t>
        </is>
      </c>
      <c r="F40" s="17" t="inlineStr">
        <is>
          <t>Csoportos döntéshozatal</t>
        </is>
      </c>
      <c r="G40" s="17" t="inlineStr">
        <is>
          <t>A jegyzet szerint a csoportos döntések során megoszlik a felelősség, a valóban bevont résztvevők pedig elkötelezettebbé válnak. A közös jelentés több nézőpontot hoz, és a helyiek is úgy érzik, számított, amit átéltek. Az ára, hogy a te parancsnoki felelősséged elmosódhat a sok hang között.</t>
        </is>
      </c>
      <c r="H40" s="18" t="n">
        <v>0</v>
      </c>
      <c r="I40" s="18" t="n">
        <v>2</v>
      </c>
      <c r="J40" s="18" t="n">
        <v>1</v>
      </c>
      <c r="K40" s="18" t="n">
        <v>-1</v>
      </c>
      <c r="L40" s="18" t="n">
        <v>3</v>
      </c>
      <c r="M40" s="19">
        <f>ROUND(3*(0.22*H40+0.22*I40+0.2*J40+0.18*K40+0.18*L40),1)</f>
        <v/>
      </c>
      <c r="N40" s="20">
        <f>IF(COUNT(H40:L40)&lt;5,"hiányzó pont",IF(OR(MIN(H40:L40)&lt;-3,MAX(H40:L40)&gt;3),"−3…+3 közé",IF(COUNTIF(H40:L40,"&gt;0")=0,"kell pozitív is",IF(COUNTIF(H40:L40,"&lt;0")=0,"kell negatív is","rendben"))))</f>
        <v/>
      </c>
    </row>
    <row r="41" ht="90" customHeight="1">
      <c r="A41" s="15" t="n"/>
      <c r="B41" s="16" t="n"/>
      <c r="C41" s="17" t="n"/>
      <c r="D41" s="15" t="inlineStr">
        <is>
          <t>D</t>
        </is>
      </c>
      <c r="E41" s="17" t="inlineStr">
        <is>
          <t>A rendszer hibáit írod le — kevés gép, pontatlan előrejelzés, ellentmondó utasítások —, személyeket nem nevezel meg. Ez igaz is, és senki pályája nem törik meg.</t>
        </is>
      </c>
      <c r="F41" s="17" t="inlineStr">
        <is>
          <t>Hamisan negatív hiba</t>
        </is>
      </c>
      <c r="G41" s="17" t="inlineStr">
        <is>
          <t>James March hamisan negatív hibának nevezi, amikor a döntéshozó azt feltételezi, hogy a dolgok menetére nem volt befolyása, pedig lehetett volna. A rendszerhibák valósak, és jó, hogy leírod őket. Ha viszont csak ezeket látod, a jelentésből kimarad, hol lehetett volna másként dönteni, és a következő árvíznél ugyanazok a döntések születnek.</t>
        </is>
      </c>
      <c r="H41" s="18" t="n">
        <v>1</v>
      </c>
      <c r="I41" s="18" t="n">
        <v>1</v>
      </c>
      <c r="J41" s="18" t="n">
        <v>-1</v>
      </c>
      <c r="K41" s="18" t="n">
        <v>-2</v>
      </c>
      <c r="L41" s="18" t="n">
        <v>1</v>
      </c>
      <c r="M41" s="19">
        <f>ROUND(3*(0.22*H41+0.22*I41+0.2*J41+0.18*K41+0.18*L41),1)</f>
        <v/>
      </c>
      <c r="N41" s="20">
        <f>IF(COUNT(H41:L41)&lt;5,"hiányzó pont",IF(OR(MIN(H41:L41)&lt;-3,MAX(H41:L41)&gt;3),"−3…+3 közé",IF(COUNTIF(H41:L41,"&gt;0")=0,"kell pozitív is",IF(COUNTIF(H41:L41,"&lt;0")=0,"kell negatív is","rendben"))))</f>
        <v/>
      </c>
    </row>
  </sheetData>
  <autoFilter ref="A1:N41"/>
  <mergeCells count="30">
    <mergeCell ref="C14:C17"/>
    <mergeCell ref="B22:B25"/>
    <mergeCell ref="B18:B21"/>
    <mergeCell ref="C26:C29"/>
    <mergeCell ref="A30:A33"/>
    <mergeCell ref="C30:C33"/>
    <mergeCell ref="B2:B5"/>
    <mergeCell ref="C10:C13"/>
    <mergeCell ref="B14:B17"/>
    <mergeCell ref="C22:C25"/>
    <mergeCell ref="A6:A9"/>
    <mergeCell ref="B38:B41"/>
    <mergeCell ref="B10:B13"/>
    <mergeCell ref="A18:A21"/>
    <mergeCell ref="A26:A29"/>
    <mergeCell ref="A2:A5"/>
    <mergeCell ref="B34:B37"/>
    <mergeCell ref="C2:C5"/>
    <mergeCell ref="B6:B9"/>
    <mergeCell ref="B30:B33"/>
    <mergeCell ref="A14:A17"/>
    <mergeCell ref="C38:C41"/>
    <mergeCell ref="A10:A13"/>
    <mergeCell ref="A22:A25"/>
    <mergeCell ref="A38:A41"/>
    <mergeCell ref="B26:B29"/>
    <mergeCell ref="A34:A37"/>
    <mergeCell ref="C34:C37"/>
    <mergeCell ref="C6:C9"/>
    <mergeCell ref="C18:C21"/>
  </mergeCells>
  <conditionalFormatting sqref="H2:L41">
    <cfRule type="cellIs" priority="1" operator="greaterThan" dxfId="0">
      <formula>0</formula>
    </cfRule>
    <cfRule type="cellIs" priority="2" operator="lessThan" dxfId="1">
      <formula>0</formula>
    </cfRule>
  </conditionalFormatting>
  <conditionalFormatting sqref="N2:N41">
    <cfRule type="expression" priority="3" dxfId="1">
      <formula>N2&lt;&gt;"rendben"</formula>
    </cfRule>
  </conditionalFormatting>
  <dataValidations count="1">
    <dataValidation sqref="H2:L2 H3:L3 H4:L4 H5:L5 H6:L6 H7:L7 H8:L8 H9:L9 H10:L10 H11:L11 H12:L12 H13:L13 H14:L14 H15:L15 H16:L16 H17:L17 H18:L18 H19:L19 H20:L20 H21:L21 H22:L22 H23:L23 H24:L24 H25:L25 H26:L26 H27:L27 H28:L28 H29:L29 H30:L30 H31:L31 H32:L32 H33:L33 H34:L34 H35:L35 H36:L36 H37:L37 H38:L38 H39:L39 H40:L40 H41:L41" showDropDown="0" showInputMessage="0" showErrorMessage="1" allowBlank="0" errorTitle="Érvénytelen pont" error="Egész számot adj meg −3 és +3 között." type="whole" operator="between">
      <formula1>-3</formula1>
      <formula2>3</formula2>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2026-10-01T20:26:25Z</dcterms:created>
  <dcterms:modified xmlns:dcterms="http://purl.org/dc/terms/" xmlns:xsi="http://www.w3.org/2001/XMLSchema-instance" xsi:type="dcterms:W3CDTF">2026-10-01T20:26:25Z</dcterms:modified>
</cp:coreProperties>
</file>