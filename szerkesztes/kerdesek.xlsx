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Útmutató" sheetId="1" state="visible" r:id="rId1"/>
    <sheet xmlns:r="http://schemas.openxmlformats.org/officeDocument/2006/relationships" name="Történetek" sheetId="2" state="visible" r:id="rId2"/>
    <sheet xmlns:r="http://schemas.openxmlformats.org/officeDocument/2006/relationships" name="Politikai" sheetId="3" state="visible" r:id="rId3"/>
    <sheet xmlns:r="http://schemas.openxmlformats.org/officeDocument/2006/relationships" name="Vállalati" sheetId="4" state="visible" r:id="rId4"/>
    <sheet xmlns:r="http://schemas.openxmlformats.org/officeDocument/2006/relationships" name="Katonai" sheetId="5" state="visible" r:id="rId5"/>
  </sheets>
  <definedNames>
    <definedName name="_xlnm._FilterDatabase" localSheetId="2" hidden="1">'Politikai'!$A$1:$N$41</definedName>
    <definedName name="_xlnm.Print_Titles" localSheetId="2">'Politikai'!$1:$1</definedName>
    <definedName name="_xlnm._FilterDatabase" localSheetId="3" hidden="1">'Vállalati'!$A$1:$N$41</definedName>
    <definedName name="_xlnm.Print_Titles" localSheetId="3">'Vállalati'!$1:$1</definedName>
    <definedName name="_xlnm._FilterDatabase" localSheetId="4" hidden="1">'Katonai'!$A$1:$N$41</definedName>
    <definedName name="_xlnm.Print_Titles" localSheetId="4">'Katonai'!$1:$1</definedName>
  </definedNames>
  <calcPr calcId="124519" fullCalcOnLoad="1"/>
</workbook>
</file>

<file path=xl/styles.xml><?xml version="1.0" encoding="utf-8"?>
<styleSheet xmlns="http://schemas.openxmlformats.org/spreadsheetml/2006/main">
  <numFmts count="1">
    <numFmt numFmtId="164" formatCode="+0.0;&quot;−&quot;0.0;0"/>
  </numFmts>
  <fonts count="7">
    <font>
      <name val="Calibri"/>
      <family val="2"/>
      <color theme="1"/>
      <sz val="11"/>
      <scheme val="minor"/>
    </font>
    <font>
      <name val="Arial"/>
      <b val="1"/>
      <color rgb="0013291F"/>
      <sz val="16"/>
    </font>
    <font>
      <name val="Arial"/>
      <color rgb="005A5A5A"/>
      <sz val="10"/>
    </font>
    <font>
      <name val="Arial"/>
      <b val="1"/>
      <color rgb="00B8933F"/>
      <sz val="11"/>
    </font>
    <font>
      <name val="Arial"/>
      <b val="1"/>
      <sz val="10"/>
    </font>
    <font>
      <name val="Arial"/>
      <sz val="10"/>
    </font>
    <font>
      <name val="Arial"/>
      <b val="1"/>
      <color rgb="00FFFFFF"/>
      <sz val="10"/>
    </font>
  </fonts>
  <fills count="5">
    <fill>
      <patternFill/>
    </fill>
    <fill>
      <patternFill patternType="gray125"/>
    </fill>
    <fill>
      <patternFill patternType="solid">
        <fgColor rgb="0013291F"/>
      </patternFill>
    </fill>
    <fill>
      <patternFill patternType="solid">
        <fgColor rgb="00EDEAE3"/>
      </patternFill>
    </fill>
    <fill>
      <patternFill patternType="solid">
        <fgColor rgb="00FFFFFF"/>
      </patternFill>
    </fill>
  </fills>
  <borders count="3">
    <border>
      <left/>
      <right/>
      <top/>
      <bottom/>
      <diagonal/>
    </border>
    <border>
      <left style="thin">
        <color rgb="00C9C2B3"/>
      </left>
      <right style="thin">
        <color rgb="00C9C2B3"/>
      </right>
      <top style="thin">
        <color rgb="00C9C2B3"/>
      </top>
      <bottom style="thin">
        <color rgb="00C9C2B3"/>
      </bottom>
    </border>
    <border>
      <left style="thin">
        <color rgb="00C9C2B3"/>
      </left>
      <right style="thin">
        <color rgb="00C9C2B3"/>
      </right>
      <top style="medium">
        <color rgb="0013291F"/>
      </top>
      <bottom style="thin">
        <color rgb="00C9C2B3"/>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4" fillId="3" borderId="1" applyAlignment="1" pivotButton="0" quotePrefix="0" xfId="0">
      <alignment vertical="top" wrapText="1"/>
    </xf>
    <xf numFmtId="0" fontId="5" fillId="4" borderId="1" applyAlignment="1" pivotButton="0" quotePrefix="0" xfId="0">
      <alignment vertical="top" wrapText="1"/>
    </xf>
    <xf numFmtId="0" fontId="4" fillId="3" borderId="2" applyAlignment="1" pivotButton="0" quotePrefix="0" xfId="0">
      <alignment horizontal="center" vertical="center" wrapText="1"/>
    </xf>
    <xf numFmtId="0" fontId="4" fillId="4" borderId="2" applyAlignment="1" pivotButton="0" quotePrefix="0" xfId="0">
      <alignment horizontal="left" vertical="top" wrapText="1"/>
    </xf>
    <xf numFmtId="0" fontId="5" fillId="4" borderId="2" applyAlignment="1" pivotButton="0" quotePrefix="0" xfId="0">
      <alignment horizontal="left" vertical="top" wrapText="1"/>
    </xf>
    <xf numFmtId="0" fontId="5" fillId="4" borderId="2" applyAlignment="1" pivotButton="0" quotePrefix="0" xfId="0">
      <alignment horizontal="center" vertical="center" wrapText="1"/>
    </xf>
    <xf numFmtId="164" fontId="5" fillId="3" borderId="2" applyAlignment="1" pivotButton="0" quotePrefix="0" xfId="0">
      <alignment horizontal="center" vertical="center" wrapText="1"/>
    </xf>
    <xf numFmtId="0" fontId="5" fillId="3" borderId="2"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5" fillId="4" borderId="1" applyAlignment="1" pivotButton="0" quotePrefix="0" xfId="0">
      <alignment horizontal="center" vertical="center" wrapText="1"/>
    </xf>
    <xf numFmtId="164" fontId="5" fillId="3" borderId="1" applyAlignment="1" pivotButton="0" quotePrefix="0" xfId="0">
      <alignment horizontal="center" vertical="center" wrapText="1"/>
    </xf>
    <xf numFmtId="0" fontId="5" fillId="3" borderId="1" applyAlignment="1" pivotButton="0" quotePrefix="0" xfId="0">
      <alignment horizontal="center" vertical="center" wrapText="1"/>
    </xf>
  </cellXfs>
  <cellStyles count="1">
    <cellStyle name="Normal" xfId="0" builtinId="0" hidden="0"/>
  </cellStyles>
  <dxfs count="2">
    <dxf>
      <font>
        <name val="Arial"/>
        <b val="1"/>
        <color rgb="001E6B3A"/>
      </font>
      <fill>
        <patternFill patternType="solid">
          <fgColor rgb="00E3F1E6"/>
        </patternFill>
      </fill>
    </dxf>
    <dxf>
      <font>
        <name val="Arial"/>
        <b val="1"/>
        <color rgb="009B2C2C"/>
      </font>
      <fill>
        <patternFill patternType="solid">
          <fgColor rgb="00F8E3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8"/>
  <sheetViews>
    <sheetView showGridLines="0" workbookViewId="0">
      <selection activeCell="A1" sqref="A1"/>
    </sheetView>
  </sheetViews>
  <sheetFormatPr baseColWidth="8" defaultRowHeight="15"/>
  <cols>
    <col width="3" customWidth="1" min="1" max="1"/>
    <col width="26" customWidth="1" min="2" max="2"/>
    <col width="92" customWidth="1" min="3" max="3"/>
  </cols>
  <sheetData>
    <row r="2">
      <c r="B2" s="1" t="inlineStr">
        <is>
          <t>Vezetői Bizalom — kérdésadatbázis</t>
        </is>
      </c>
    </row>
    <row r="3">
      <c r="B3" s="2" t="inlineStr">
        <is>
          <t>Ebben a fájlban a játék mindhárom története szerkeszthető. Ha kész, küldd vissza, és visszatöltöm a játékba.</t>
        </is>
      </c>
    </row>
    <row r="5">
      <c r="B5" s="3" t="inlineStr">
        <is>
          <t>Mit hol találsz</t>
        </is>
      </c>
    </row>
    <row r="6" ht="18" customHeight="1">
      <c r="B6" s="4" t="inlineStr">
        <is>
          <t>Történetek</t>
        </is>
      </c>
      <c r="C6" s="5" t="inlineStr">
        <is>
          <t>A három pálya neve és a történet rövid összefoglalója, amely a szerepválasztó kártyán jelenik meg.</t>
        </is>
      </c>
    </row>
    <row r="7" ht="18" customHeight="1">
      <c r="B7" s="4" t="inlineStr">
        <is>
          <t>Politikai / Vállalati / Katonai</t>
        </is>
      </c>
      <c r="C7" s="5" t="inlineStr">
        <is>
          <t>Pályánként 10 helyzet, mindegyikhez 4 válasz — egy sor egy válasz.</t>
        </is>
      </c>
    </row>
    <row r="9">
      <c r="B9" s="3" t="inlineStr">
        <is>
          <t>Mit szabad átírni</t>
        </is>
      </c>
    </row>
    <row r="10" ht="18" customHeight="1">
      <c r="B10" s="4" t="inlineStr">
        <is>
          <t>Fehér cellák</t>
        </is>
      </c>
      <c r="C10" s="5" t="inlineStr">
        <is>
          <t>Szabadon átírhatók: jelenet címe, helyzetleírás, válasz, fogalom, kiértékelés és az öt pontszám.</t>
        </is>
      </c>
    </row>
    <row r="11" ht="33" customHeight="1">
      <c r="B11" s="4" t="inlineStr">
        <is>
          <t>Szürke cellák</t>
        </is>
      </c>
      <c r="C11" s="5" t="inlineStr">
        <is>
          <t>Azonosítók és számított oszlopok (Sz., Jel, Súlyozott hatás, Ellenőrzés). Ezeket ne írd át — a visszatöltés ezek alapján párosít.</t>
        </is>
      </c>
    </row>
    <row r="12" ht="33" customHeight="1">
      <c r="B12" s="4" t="inlineStr">
        <is>
          <t>Sorrend</t>
        </is>
      </c>
      <c r="C12" s="5" t="inlineStr">
        <is>
          <t>Sort ne szúrj be és ne törölj: minden helyzetnek pontosan 4 válasza van (A–D). A válaszok sorrendje a játékban úgyis véletlenszerű.</t>
        </is>
      </c>
    </row>
    <row r="14">
      <c r="B14" s="3" t="inlineStr">
        <is>
          <t>A pontok</t>
        </is>
      </c>
    </row>
    <row r="15" ht="33" customHeight="1">
      <c r="B15" s="4" t="inlineStr">
        <is>
          <t>Tartomány</t>
        </is>
      </c>
      <c r="C15" s="5" t="inlineStr">
        <is>
          <t>Egész szám −3 és +3 között, mind az öt oszlopban (0 = nem érinti). A játék háromszorozza: +2 a Bizalomindex adott dimenziójában +6 pontot jelent.</t>
        </is>
      </c>
    </row>
    <row r="16" ht="33" customHeight="1">
      <c r="B16" s="4" t="inlineStr">
        <is>
          <t>Szabály</t>
        </is>
      </c>
      <c r="C16" s="5" t="inlineStr">
        <is>
          <t>Minden válasznak legyen legalább egy pozitív és legalább egy negatív pontja: nincs ingyen jó döntés. Az „Ellenőrzés” oszlop jelez, ha ez sérül.</t>
        </is>
      </c>
    </row>
    <row r="17" ht="33" customHeight="1">
      <c r="B17" s="4" t="inlineStr">
        <is>
          <t>Súlyozott hatás</t>
        </is>
      </c>
      <c r="C17" s="5" t="inlineStr">
        <is>
          <t>Mennyit mozdít a válasz a Bizalomindexen (0,22·Köv + 0,22·Átl + 0,20·Dönt + 0,18·Fel + 0,18·Bev, háromszorozva). Segít látni, melyik válasz a „legdrágább”.</t>
        </is>
      </c>
    </row>
    <row r="18" ht="18" customHeight="1">
      <c r="B18" s="4" t="inlineStr">
        <is>
          <t>Mi alapján?</t>
        </is>
      </c>
      <c r="C18" s="5" t="inlineStr">
        <is>
          <t>A pontozás szempontjait a külön kiküldött „Pontozási szempontok” dokumentum írja le, dimenziónként.</t>
        </is>
      </c>
    </row>
    <row r="20">
      <c r="B20" s="3" t="inlineStr">
        <is>
          <t>Nyelvi szabály</t>
        </is>
      </c>
    </row>
    <row r="21" ht="18" customHeight="1">
      <c r="B21" s="4" t="inlineStr">
        <is>
          <t>Helyzet és válasz</t>
        </is>
      </c>
      <c r="C21" s="5" t="inlineStr">
        <is>
          <t>Hétköznapi nyelv, szakszó nélkül — a játékosnak nem kell ismernie a tananyagot.</t>
        </is>
      </c>
    </row>
    <row r="22" ht="33" customHeight="1">
      <c r="B22" s="4" t="inlineStr">
        <is>
          <t>Kiértékelés</t>
        </is>
      </c>
      <c r="C22" s="5" t="inlineStr">
        <is>
          <t>Itt kell megnevezni a jegyzet fogalmát (PrOACT, korlátozott racionalitás, Mintzberg szerepei, halo-hatás stb.), egy-két érthető mondatban.</t>
        </is>
      </c>
    </row>
    <row r="24">
      <c r="B24" s="3" t="inlineStr">
        <is>
          <t>Minta: egy kitöltött sor</t>
        </is>
      </c>
    </row>
    <row r="25" ht="33" customHeight="1">
      <c r="B25" s="4" t="inlineStr">
        <is>
          <t>Válasz</t>
        </is>
      </c>
      <c r="C25" s="5" t="inlineStr">
        <is>
          <t>Két hetet kérsz, mielőtt bármiről szavaznátok. Ezalatt leírjátok, pontosan mit akartok elérni — megtakarítást, jobb iskolákat vagy mindkettőt —, és mi az, amit semmiképp sem akartok feláldozni.</t>
        </is>
      </c>
    </row>
    <row r="26" ht="18" customHeight="1">
      <c r="B26" s="4" t="inlineStr">
        <is>
          <t>Fogalom</t>
        </is>
      </c>
      <c r="C26" s="5" t="inlineStr">
        <is>
          <t>PrOACT-modell</t>
        </is>
      </c>
    </row>
    <row r="27" ht="48" customHeight="1">
      <c r="B27" s="4" t="inlineStr">
        <is>
          <t>Kiértékelés</t>
        </is>
      </c>
      <c r="C27" s="5" t="inlineStr">
        <is>
          <t>Ez a PrOACT-modell első két lépése: pontosan megfogalmazni a problémát, és összeírni az összes célt, mielőtt bármilyen megoldást mérlegelnénk. A táblázat kész megoldással érkezett, te viszont visszaléptél a kérdéshez: mit akarunk valójában? Ennek ára két hét csúszás és egy türelmetlen frakcióvezető.</t>
        </is>
      </c>
    </row>
    <row r="28" ht="33" customHeight="1">
      <c r="B28" s="4" t="inlineStr">
        <is>
          <t>Pontok</t>
        </is>
      </c>
      <c r="C28" s="5" t="inlineStr">
        <is>
          <t>Következetesség −1 · Átláthatóság +2 · Döntési minőség +3 · Felelősségvállalás +1 · Érintettek bevonása +1</t>
        </is>
      </c>
    </row>
  </sheetData>
  <mergeCells count="1">
    <mergeCell ref="B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00" customWidth="1" min="3" max="3"/>
  </cols>
  <sheetData>
    <row r="1" ht="22" customHeight="1">
      <c r="A1" s="6" t="inlineStr">
        <is>
          <t>Pálya</t>
        </is>
      </c>
      <c r="B1" s="6" t="inlineStr">
        <is>
          <t>Szerep (kártya címe)</t>
        </is>
      </c>
      <c r="C1" s="6" t="inlineStr">
        <is>
          <t>A történet összefoglalója</t>
        </is>
      </c>
    </row>
    <row r="2" ht="51" customHeight="1">
      <c r="A2" s="7" t="inlineStr">
        <is>
          <t>Politikai</t>
        </is>
      </c>
      <c r="B2" s="8" t="inlineStr">
        <is>
          <t>Politikai vezető</t>
        </is>
      </c>
      <c r="C2" s="8" t="inlineStr">
        <is>
          <t>Egy parlamenti bizottság elnöke vagy. A kormány takarékossági csomagja negyven kis falusi iskola bezárását javasolja: a gyerekeket busszal vinnék be a közeli városokba. Tíz héted van arra, hogy a javaslatot végigvidd a bizottságon és a parlamenten, miközben a falvak, a pedagógusok, a pártod és a sajtó is minden lépésedet figyeli.</t>
        </is>
      </c>
    </row>
    <row r="3" ht="51" customHeight="1">
      <c r="A3" s="7" t="inlineStr">
        <is>
          <t>Vállalati</t>
        </is>
      </c>
      <c r="B3" s="8" t="inlineStr">
        <is>
          <t>Vállalati vezető</t>
        </is>
      </c>
      <c r="C3" s="8" t="inlineStr">
        <is>
          <t>A Meridian Kft. ügyfélszolgálati igazgatója vagy. A cég legnagyobb ügyfele, egy országos patikalánc, három hónapot adott: ha addig nem javul a kiszolgálás, felmondja a szerződést, amelyből a cég bevételének negyede származik. A csapatod kimerült, az osztályok egymást hibáztatják, a vezérigazgató pedig eredményeket vár.</t>
        </is>
      </c>
    </row>
    <row r="4" ht="51" customHeight="1">
      <c r="A4" s="7" t="inlineStr">
        <is>
          <t>Katonai</t>
        </is>
      </c>
      <c r="B4" s="8" t="inlineStr">
        <is>
          <t>Katonai vezető</t>
        </is>
      </c>
      <c r="C4" s="8" t="inlineStr">
        <is>
          <t>A 3. műszaki ezred parancsnoka vagy. Rekordmagas árhullám közeleg a Tiszán, és az ezredet egy háromezer lakosú folyóparti város, Tiszaszög és a környező tanyák védelmére vezénylik. Tizenkét napotok van: az állomány fáradt, kevés a gép, a helyiek félnek, és minden döntésed emberek otthonáról szól.</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46" customWidth="1" min="3" max="3"/>
    <col width="5" customWidth="1" min="4" max="4"/>
    <col width="44" customWidth="1" min="5" max="5"/>
    <col width="22" customWidth="1" min="6" max="6"/>
    <col width="58" customWidth="1" min="7" max="7"/>
    <col width="11" customWidth="1" min="8" max="8"/>
    <col width="11" customWidth="1" min="9" max="9"/>
    <col width="11" customWidth="1" min="10" max="10"/>
    <col width="11" customWidth="1" min="11" max="11"/>
    <col width="11" customWidth="1" min="12" max="12"/>
    <col width="13" customWidth="1" min="13" max="13"/>
    <col width="18" customWidth="1" min="14" max="14"/>
  </cols>
  <sheetData>
    <row r="1" ht="44" customHeight="1">
      <c r="A1" s="6" t="inlineStr">
        <is>
          <t>Sz.</t>
        </is>
      </c>
      <c r="B1" s="6" t="inlineStr">
        <is>
          <t>Jelenet címe</t>
        </is>
      </c>
      <c r="C1" s="6" t="inlineStr">
        <is>
          <t>Helyzet (a játékos ezt olvassa)</t>
        </is>
      </c>
      <c r="D1" s="6" t="inlineStr">
        <is>
          <t>Jel</t>
        </is>
      </c>
      <c r="E1" s="6" t="inlineStr">
        <is>
          <t>Válasz (a játékos ezt olvassa)</t>
        </is>
      </c>
      <c r="F1" s="6" t="inlineStr">
        <is>
          <t>Fogalom (a jegyzetből)</t>
        </is>
      </c>
      <c r="G1" s="6" t="inlineStr">
        <is>
          <t>Kiértékelés (a válasz után jelenik meg)</t>
        </is>
      </c>
      <c r="H1" s="6" t="inlineStr">
        <is>
          <t>Következetesség</t>
        </is>
      </c>
      <c r="I1" s="6" t="inlineStr">
        <is>
          <t>Átláthatóság</t>
        </is>
      </c>
      <c r="J1" s="6" t="inlineStr">
        <is>
          <t>Döntési minőség</t>
        </is>
      </c>
      <c r="K1" s="6" t="inlineStr">
        <is>
          <t>Felelősségvállalás</t>
        </is>
      </c>
      <c r="L1" s="6" t="inlineStr">
        <is>
          <t>Érintettek bevonása</t>
        </is>
      </c>
      <c r="M1" s="6" t="inlineStr">
        <is>
          <t>Súlyozott hatás a Bizalomindexre</t>
        </is>
      </c>
      <c r="N1" s="6" t="inlineStr">
        <is>
          <t>Ellenőrzés</t>
        </is>
      </c>
    </row>
    <row r="2" ht="90" customHeight="1">
      <c r="A2" s="9" t="n">
        <v>1</v>
      </c>
      <c r="B2" s="10" t="inlineStr">
        <is>
          <t>A minisztérium táblázata</t>
        </is>
      </c>
      <c r="C2" s="11" t="inlineStr">
        <is>
          <t>Hétfő reggel megérkezik a minisztérium anyaga: egyetlen táblázat. Benne a negyven iskola neve, a tanulók száma, és hogy mennyit spórol az állam, ha bezárják őket. A bizottság három tagja már az első percekben összevitatkozik rajta, a frakcióvezetőd pedig üzeni, hogy jó lenne egy hónap alatt lezárni az ügyet. Mielőtt bárki szavazna, neked kell eldöntened, hogyan fogjatok hozzá.</t>
        </is>
      </c>
      <c r="D2" s="9" t="inlineStr">
        <is>
          <t>A</t>
        </is>
      </c>
      <c r="E2" s="11" t="inlineStr">
        <is>
          <t>Még aznap nyilatkozatot teszel: amíg te vezeted a bizottságot, egyetlen falu sem veszíti el az iskoláját. A falvak hálásak, a sajtó felkapja a hírt, és erős pozícióból ülsz le tárgyalni.</t>
        </is>
      </c>
      <c r="F2" s="11" t="inlineStr">
        <is>
          <t>Snowden–Boone: egyszerű és komplex helyzet</t>
        </is>
      </c>
      <c r="G2" s="11" t="inlineStr">
        <is>
          <t>Snowden és Boone szerint egyszerű helyzetben létezik egyetlen helyes válasz, amelyet elég kimondani. Komplex helyzetben viszont nincs ilyen: az okok és a következmények csak menet közben rajzolódnak ki. Az ígéreteddel úgy kezelted az ügyet, mintha egyszerű volna. Most erős a pozíciód, de ha a számok később mást mutatnak, a saját szavad fordul ellened.</t>
        </is>
      </c>
      <c r="H2" s="12" t="n">
        <v>-2</v>
      </c>
      <c r="I2" s="12" t="n">
        <v>2</v>
      </c>
      <c r="J2" s="12" t="n">
        <v>-2</v>
      </c>
      <c r="K2" s="12" t="n">
        <v>1</v>
      </c>
      <c r="L2" s="12" t="n">
        <v>1</v>
      </c>
      <c r="M2" s="13">
        <f>ROUND(3*(0.22*H2+0.22*I2+0.2*J2+0.18*K2+0.18*L2),1)</f>
        <v/>
      </c>
      <c r="N2" s="14">
        <f>IF(COUNT(H2:L2)&lt;5,"hiányzó pont",IF(OR(MIN(H2:L2)&lt;-3,MAX(H2:L2)&gt;3),"−3…+3 közé",IF(COUNTIF(H2:L2,"&gt;0")=0,"kell pozitív is",IF(COUNTIF(H2:L2,"&lt;0")=0,"kell negatív is","rendben"))))</f>
        <v/>
      </c>
    </row>
    <row r="3" ht="90" customHeight="1">
      <c r="A3" s="15" t="n"/>
      <c r="B3" s="16" t="n"/>
      <c r="C3" s="17" t="n"/>
      <c r="D3" s="15" t="inlineStr">
        <is>
          <t>B</t>
        </is>
      </c>
      <c r="E3" s="17" t="inlineStr">
        <is>
          <t>Elfogadod kiindulópontnak a táblázatot, és a bizottság csak arról vitázik, melyik iskola kerüljön le a listáról. Így gyorsan haladtok, és a pártod is elégedett.</t>
        </is>
      </c>
      <c r="F3" s="17" t="inlineStr">
        <is>
          <t>Jól és rosszul strukturált döntés</t>
        </is>
      </c>
      <c r="G3" s="17" t="inlineStr">
        <is>
          <t>Simon megkülönböztetése szerint egy jól strukturált döntésnél csak az a kérdés, hogyan oldjuk meg a problémát; a rosszul strukturáltnál még az sem világos, mi maga a probléma. Az iskolabezárás tipikusan ilyen: nem egyértelmű, hogy költségvetési, oktatási vagy közösségi kérdésről van-e szó. Ha jól strukturáltként kezeled, gyorsan haladsz, de a valódi vitát csak elodázod.</t>
        </is>
      </c>
      <c r="H3" s="18" t="n">
        <v>2</v>
      </c>
      <c r="I3" s="18" t="n">
        <v>-1</v>
      </c>
      <c r="J3" s="18" t="n">
        <v>-2</v>
      </c>
      <c r="K3" s="18" t="n">
        <v>0</v>
      </c>
      <c r="L3" s="18" t="n">
        <v>-1</v>
      </c>
      <c r="M3" s="19">
        <f>ROUND(3*(0.22*H3+0.22*I3+0.2*J3+0.18*K3+0.18*L3),1)</f>
        <v/>
      </c>
      <c r="N3" s="20">
        <f>IF(COUNT(H3:L3)&lt;5,"hiányzó pont",IF(OR(MIN(H3:L3)&lt;-3,MAX(H3:L3)&gt;3),"−3…+3 közé",IF(COUNTIF(H3:L3,"&gt;0")=0,"kell pozitív is",IF(COUNTIF(H3:L3,"&lt;0")=0,"kell negatív is","rendben"))))</f>
        <v/>
      </c>
    </row>
    <row r="4" ht="76" customHeight="1">
      <c r="A4" s="15" t="n"/>
      <c r="B4" s="16" t="n"/>
      <c r="C4" s="17" t="n"/>
      <c r="D4" s="15" t="inlineStr">
        <is>
          <t>C</t>
        </is>
      </c>
      <c r="E4" s="17" t="inlineStr">
        <is>
          <t>Két hetet kérsz, mielőtt bármiről szavaznátok. Ezalatt leírjátok, pontosan mit akartok elérni — megtakarítást, jobb iskolákat vagy mindkettőt —, és mi az, amit semmiképp sem akartok feláldozni.</t>
        </is>
      </c>
      <c r="F4" s="17" t="inlineStr">
        <is>
          <t>PrOACT-modell</t>
        </is>
      </c>
      <c r="G4" s="17" t="inlineStr">
        <is>
          <t>Ez a PrOACT-modell első két lépése: pontosan megfogalmazni a problémát, és összeírni az összes célt, mielőtt bármilyen megoldást mérlegelnénk. A táblázat kész megoldással érkezett, te viszont visszaléptél a kérdéshez: mit akarunk valójában? Ennek ára két hét csúszás és egy türelmetlen frakcióvezető.</t>
        </is>
      </c>
      <c r="H4" s="18" t="n">
        <v>-1</v>
      </c>
      <c r="I4" s="18" t="n">
        <v>2</v>
      </c>
      <c r="J4" s="18" t="n">
        <v>3</v>
      </c>
      <c r="K4" s="18" t="n">
        <v>1</v>
      </c>
      <c r="L4" s="18" t="n">
        <v>1</v>
      </c>
      <c r="M4" s="19">
        <f>ROUND(3*(0.22*H4+0.22*I4+0.2*J4+0.18*K4+0.18*L4),1)</f>
        <v/>
      </c>
      <c r="N4" s="20">
        <f>IF(COUNT(H4:L4)&lt;5,"hiányzó pont",IF(OR(MIN(H4:L4)&lt;-3,MAX(H4:L4)&gt;3),"−3…+3 közé",IF(COUNTIF(H4:L4,"&gt;0")=0,"kell pozitív is",IF(COUNTIF(H4:L4,"&lt;0")=0,"kell negatív is","rendben"))))</f>
        <v/>
      </c>
    </row>
    <row r="5" ht="76" customHeight="1">
      <c r="A5" s="15" t="n"/>
      <c r="B5" s="16" t="n"/>
      <c r="C5" s="17" t="n"/>
      <c r="D5" s="15" t="inlineStr">
        <is>
          <t>D</t>
        </is>
      </c>
      <c r="E5" s="17" t="inlineStr">
        <is>
          <t>Mielőtt bármit mondanál a bizottságban, egy hét alatt végiglátogatsz öt érintett falut, hogy a saját szemeddel lásd, mi áll a táblázat számai mögött.</t>
        </is>
      </c>
      <c r="F5" s="17" t="inlineStr">
        <is>
          <t>Mintzberg információgyűjtő szerepe</t>
        </is>
      </c>
      <c r="G5" s="17" t="inlineStr">
        <is>
          <t>Mintzberg tíz vezetői szerepe közül ez az információgyűjtő szerep: a vezető maga megy oda, ahol első kézből tájékozódhat. A terepen olyasmit is látsz, amit a táblázat nem mutat meg. Az ára, hogy a bizottság közben nélküled kezd vitatkozni, és a tagok semmit sem látnak abból, amit te tapasztalsz.</t>
        </is>
      </c>
      <c r="H5" s="18" t="n">
        <v>-1</v>
      </c>
      <c r="I5" s="18" t="n">
        <v>-1</v>
      </c>
      <c r="J5" s="18" t="n">
        <v>2</v>
      </c>
      <c r="K5" s="18" t="n">
        <v>2</v>
      </c>
      <c r="L5" s="18" t="n">
        <v>1</v>
      </c>
      <c r="M5" s="19">
        <f>ROUND(3*(0.22*H5+0.22*I5+0.2*J5+0.18*K5+0.18*L5),1)</f>
        <v/>
      </c>
      <c r="N5" s="20">
        <f>IF(COUNT(H5:L5)&lt;5,"hiányzó pont",IF(OR(MIN(H5:L5)&lt;-3,MAX(H5:L5)&gt;3),"−3…+3 közé",IF(COUNTIF(H5:L5,"&gt;0")=0,"kell pozitív is",IF(COUNTIF(H5:L5,"&lt;0")=0,"kell negatív is","rendben"))))</f>
        <v/>
      </c>
    </row>
    <row r="6" ht="76" customHeight="1">
      <c r="A6" s="9" t="n">
        <v>2</v>
      </c>
      <c r="B6" s="10" t="inlineStr">
        <is>
          <t>Falugyűlés Bükkfalván</t>
        </is>
      </c>
      <c r="C6" s="11" t="inlineStr">
        <is>
          <t>A táblázat kiszivárgott. Szombaton Bükkfalván, az egyik listán szereplő faluban háromszáz ember gyűlik össze a kultúrházban, és téged is meghívnak. A szervező előre figyelmeztet: a szülők dühösek, és arra várnak választ, hogy megmarad-e az iskolájuk. A sajtó is ott lesz.</t>
        </is>
      </c>
      <c r="D6" s="9" t="inlineStr">
        <is>
          <t>A</t>
        </is>
      </c>
      <c r="E6" s="11" t="inlineStr">
        <is>
          <t>Elmész, és megígéred, hogy Bükkfalva iskolája megmarad. A terem tapsol, estére pedig már mindenhol erről szól a hír.</t>
        </is>
      </c>
      <c r="F6" s="11" t="inlineStr">
        <is>
          <t>Diszkontálás</t>
        </is>
      </c>
      <c r="G6" s="11" t="inlineStr">
        <is>
          <t>A diszkontálás az a hajlamunk, hogy ami közel van és most történik, azt túlértékeljük, ami távolabb esik, azt pedig alábecsüljük. A dühös terem itt és most van előtted, a többi harminckilenc falu és a költségvetés viszont messzinek tűnik. Az ígéret ma békét hoz, holnap viszont mindenki ugyanezt fogja kérni tőled.</t>
        </is>
      </c>
      <c r="H6" s="12" t="n">
        <v>-3</v>
      </c>
      <c r="I6" s="12" t="n">
        <v>1</v>
      </c>
      <c r="J6" s="12" t="n">
        <v>-2</v>
      </c>
      <c r="K6" s="12" t="n">
        <v>1</v>
      </c>
      <c r="L6" s="12" t="n">
        <v>2</v>
      </c>
      <c r="M6" s="13">
        <f>ROUND(3*(0.22*H6+0.22*I6+0.2*J6+0.18*K6+0.18*L6),1)</f>
        <v/>
      </c>
      <c r="N6" s="14">
        <f>IF(COUNT(H6:L6)&lt;5,"hiányzó pont",IF(OR(MIN(H6:L6)&lt;-3,MAX(H6:L6)&gt;3),"−3…+3 közé",IF(COUNTIF(H6:L6,"&gt;0")=0,"kell pozitív is",IF(COUNTIF(H6:L6,"&lt;0")=0,"kell negatív is","rendben"))))</f>
        <v/>
      </c>
    </row>
    <row r="7" ht="90" customHeight="1">
      <c r="A7" s="15" t="n"/>
      <c r="B7" s="16" t="n"/>
      <c r="C7" s="17" t="n"/>
      <c r="D7" s="15" t="inlineStr">
        <is>
          <t>B</t>
        </is>
      </c>
      <c r="E7" s="17" t="inlineStr">
        <is>
          <t>Elmész, és felajánlod, hogy a falu két hónap alatt dolgozzon ki saját javaslatot, amelyet a bizottság ugyanolyan komolyan megvizsgál, mint a minisztériumét. Ez lelassítja a menetrendet, és a pártod sem fog örülni neki.</t>
        </is>
      </c>
      <c r="F7" s="17" t="inlineStr">
        <is>
          <t>Részvételi létra</t>
        </is>
      </c>
      <c r="G7" s="17" t="inlineStr">
        <is>
          <t>A részvételi létra azt mutatja meg, mennyire valódi az érintettek bevonása: a puszta tájékoztatástól egészen addig, amikor a döntés egy részét ténylegesen rájuk bízzuk. Te a létra felső fokára léptél: a falu nemcsak véleményt mondhat, hanem saját javaslatot is tehet. Az ár két hónap csúszás és egy frakció, amely úgy érzi, kiengedted a kezedből az ügyet.</t>
        </is>
      </c>
      <c r="H7" s="18" t="n">
        <v>-1</v>
      </c>
      <c r="I7" s="18" t="n">
        <v>2</v>
      </c>
      <c r="J7" s="18" t="n">
        <v>1</v>
      </c>
      <c r="K7" s="18" t="n">
        <v>1</v>
      </c>
      <c r="L7" s="18" t="n">
        <v>3</v>
      </c>
      <c r="M7" s="19">
        <f>ROUND(3*(0.22*H7+0.22*I7+0.2*J7+0.18*K7+0.18*L7),1)</f>
        <v/>
      </c>
      <c r="N7" s="20">
        <f>IF(COUNT(H7:L7)&lt;5,"hiányzó pont",IF(OR(MIN(H7:L7)&lt;-3,MAX(H7:L7)&gt;3),"−3…+3 közé",IF(COUNTIF(H7:L7,"&gt;0")=0,"kell pozitív is",IF(COUNTIF(H7:L7,"&lt;0")=0,"kell negatív is","rendben"))))</f>
        <v/>
      </c>
    </row>
    <row r="8" ht="90" customHeight="1">
      <c r="A8" s="15" t="n"/>
      <c r="B8" s="16" t="n"/>
      <c r="C8" s="17" t="n"/>
      <c r="D8" s="15" t="inlineStr">
        <is>
          <t>C</t>
        </is>
      </c>
      <c r="E8" s="17" t="inlineStr">
        <is>
          <t>Nem mész el személyesen, hanem a minisztérium egyik szakértőjét küldöd, aki a számokkal elmagyarázza, miért van szükség az átszervezésre. Így nem rád zúdul az emberek dühe, és a számokat is pontosabban ismerteti.</t>
        </is>
      </c>
      <c r="F8" s="17" t="inlineStr">
        <is>
          <t>Mintzberg képviselő szerepe</t>
        </is>
      </c>
      <c r="G8" s="17" t="inlineStr">
        <is>
          <t>Mintzberg szerint a vezetőnek képviselő szerepe is van: már a jelenléte is üzenet, mert a tisztségének szimbolikus súlya van. A szakértő pontosabban beszél a számokról, a teremben mégis az marad meg, hogy te nem jöttél el. A távolmaradással megúszol egy kellemetlen estét, de elszalasztod az esélyt, hogy személyesen építs bizalmat.</t>
        </is>
      </c>
      <c r="H8" s="18" t="n">
        <v>1</v>
      </c>
      <c r="I8" s="18" t="n">
        <v>1</v>
      </c>
      <c r="J8" s="18" t="n">
        <v>1</v>
      </c>
      <c r="K8" s="18" t="n">
        <v>-3</v>
      </c>
      <c r="L8" s="18" t="n">
        <v>-2</v>
      </c>
      <c r="M8" s="19">
        <f>ROUND(3*(0.22*H8+0.22*I8+0.2*J8+0.18*K8+0.18*L8),1)</f>
        <v/>
      </c>
      <c r="N8" s="20">
        <f>IF(COUNT(H8:L8)&lt;5,"hiányzó pont",IF(OR(MIN(H8:L8)&lt;-3,MAX(H8:L8)&gt;3),"−3…+3 közé",IF(COUNTIF(H8:L8,"&gt;0")=0,"kell pozitív is",IF(COUNTIF(H8:L8,"&lt;0")=0,"kell negatív is","rendben"))))</f>
        <v/>
      </c>
    </row>
    <row r="9" ht="76" customHeight="1">
      <c r="A9" s="15" t="n"/>
      <c r="B9" s="16" t="n"/>
      <c r="C9" s="17" t="n"/>
      <c r="D9" s="15" t="inlineStr">
        <is>
          <t>D</t>
        </is>
      </c>
      <c r="E9" s="17" t="inlineStr">
        <is>
          <t>Elmész, végighallgatod őket, és elmondod, hogy még semmi sincs eldöntve — de ígéretet nem teszel. Tudod, hogy ezzel valószínűleg senkit sem fogsz elégedetté tenni.</t>
        </is>
      </c>
      <c r="F9" s="17" t="inlineStr">
        <is>
          <t>Mintzberg kapcsolattartó szerepe</t>
        </is>
      </c>
      <c r="G9" s="17" t="inlineStr">
        <is>
          <t>Mintzberg kapcsolattartó szerepében a vezető a szervezeten kívüliekkel épít kapcsolatot, és közben információt is gyűjt. Ha meghallgatod őket, de nem ígérsz semmit, megőrzöd a mozgásteredet és a hitelességedet. Sokan viszont azzal mennek haza, hogy kiálltál eléjük, de nem mondtál semmit.</t>
        </is>
      </c>
      <c r="H9" s="18" t="n">
        <v>1</v>
      </c>
      <c r="I9" s="18" t="n">
        <v>-1</v>
      </c>
      <c r="J9" s="18" t="n">
        <v>1</v>
      </c>
      <c r="K9" s="18" t="n">
        <v>1</v>
      </c>
      <c r="L9" s="18" t="n">
        <v>2</v>
      </c>
      <c r="M9" s="19">
        <f>ROUND(3*(0.22*H9+0.22*I9+0.2*J9+0.18*K9+0.18*L9),1)</f>
        <v/>
      </c>
      <c r="N9" s="20">
        <f>IF(COUNT(H9:L9)&lt;5,"hiányzó pont",IF(OR(MIN(H9:L9)&lt;-3,MAX(H9:L9)&gt;3),"−3…+3 közé",IF(COUNTIF(H9:L9,"&gt;0")=0,"kell pozitív is",IF(COUNTIF(H9:L9,"&lt;0")=0,"kell negatív is","rendben"))))</f>
        <v/>
      </c>
    </row>
    <row r="10" ht="76" customHeight="1">
      <c r="A10" s="9" t="n">
        <v>3</v>
      </c>
      <c r="B10" s="10" t="inlineStr">
        <is>
          <t>A buszos cég ajánlata</t>
        </is>
      </c>
      <c r="C10" s="11" t="inlineStr">
        <is>
          <t>A parlament folyosóján megszólít egy ismert buszos cég vezetője. A cég országszerte pontos, megbízható járatairól ismert. Az ajánlata: öt évig ingyen szállítják a gyerekeket azokból a falvakból, ahol bezár az iskola, ha a bizottság úgy fogalmazza meg a törvényt, hogy a szállítást pályázat nélkül ők kaphassák meg. A szülők pedig éppen az utazástól félnek a legjobban.</t>
        </is>
      </c>
      <c r="D10" s="9" t="inlineStr">
        <is>
          <t>A</t>
        </is>
      </c>
      <c r="E10" s="11" t="inlineStr">
        <is>
          <t>Megköszönöd az ajánlatot, de jelzed, hogy a szállításra nyílt pályázatot írtok ki, még ha az drágább és lassabb is. Tudod, hogy így a buszok csak hónapokkal később indulnak, és addig a szülők aggodalma sem múlik el.</t>
        </is>
      </c>
      <c r="F10" s="11" t="inlineStr">
        <is>
          <t>Moralitás detektor: napfény teszt</t>
        </is>
      </c>
      <c r="G10" s="11" t="inlineStr">
        <is>
          <t>A napfény teszt egyetlen kérdés: jól érezném-e magam, ha ez a döntés minden részletével együtt holnap nyilvánosságra kerülne? Egy pályázat nélküli, ingyenesnek látszó üzlet nehezen állná ki ezt a próbát. A nyílt pályázat tisztább megoldás, de a gyerekek addig bizonytalanságban maradnak, és a megtakarítás is kisebb lesz.</t>
        </is>
      </c>
      <c r="H10" s="12" t="n">
        <v>2</v>
      </c>
      <c r="I10" s="12" t="n">
        <v>2</v>
      </c>
      <c r="J10" s="12" t="n">
        <v>0</v>
      </c>
      <c r="K10" s="12" t="n">
        <v>1</v>
      </c>
      <c r="L10" s="12" t="n">
        <v>-1</v>
      </c>
      <c r="M10" s="13">
        <f>ROUND(3*(0.22*H10+0.22*I10+0.2*J10+0.18*K10+0.18*L10),1)</f>
        <v/>
      </c>
      <c r="N10" s="14">
        <f>IF(COUNT(H10:L10)&lt;5,"hiányzó pont",IF(OR(MIN(H10:L10)&lt;-3,MAX(H10:L10)&gt;3),"−3…+3 közé",IF(COUNTIF(H10:L10,"&gt;0")=0,"kell pozitív is",IF(COUNTIF(H10:L10,"&lt;0")=0,"kell negatív is","rendben"))))</f>
        <v/>
      </c>
    </row>
    <row r="11" ht="90" customHeight="1">
      <c r="A11" s="15" t="n"/>
      <c r="B11" s="16" t="n"/>
      <c r="C11" s="17" t="n"/>
      <c r="D11" s="15" t="inlineStr">
        <is>
          <t>B</t>
        </is>
      </c>
      <c r="E11" s="17" t="inlineStr">
        <is>
          <t>Elfogadod: a gyerekek biztonságos, ingyenes buszt kapnak, az állam spórol, a szülők megnyugszanak. Úgy gondolod, egy ilyen jó ügy érdekében belefér, hogy ezúttal kivételesen ne legyen pályázat.</t>
        </is>
      </c>
      <c r="F11" s="17" t="inlineStr">
        <is>
          <t>Gátló racionalizálás: „jó célt szolgál”</t>
        </is>
      </c>
      <c r="G11" s="17" t="inlineStr">
        <is>
          <t>A jegyzet gátló racionalizálásnak nevezi azokat az érveket, amelyekkel egy kétes döntést a saját szemünkben elfogadhatóvá teszünk. A „jó célt szolgál” az egyik leggyakoribb ilyen érv: az eredmény valóban értékes, de az odavezető út — egy cégnek tett, pályázat nélküli szívesség — etikai csapdát rejt. Rövid távon mindenki jól jár, egészen addig, amíg ki nem derül, mi volt az ára.</t>
        </is>
      </c>
      <c r="H11" s="18" t="n">
        <v>-1</v>
      </c>
      <c r="I11" s="18" t="n">
        <v>-3</v>
      </c>
      <c r="J11" s="18" t="n">
        <v>1</v>
      </c>
      <c r="K11" s="18" t="n">
        <v>-2</v>
      </c>
      <c r="L11" s="18" t="n">
        <v>2</v>
      </c>
      <c r="M11" s="19">
        <f>ROUND(3*(0.22*H11+0.22*I11+0.2*J11+0.18*K11+0.18*L11),1)</f>
        <v/>
      </c>
      <c r="N11" s="20">
        <f>IF(COUNT(H11:L11)&lt;5,"hiányzó pont",IF(OR(MIN(H11:L11)&lt;-3,MAX(H11:L11)&gt;3),"−3…+3 közé",IF(COUNTIF(H11:L11,"&gt;0")=0,"kell pozitív is",IF(COUNTIF(H11:L11,"&lt;0")=0,"kell negatív is","rendben"))))</f>
        <v/>
      </c>
    </row>
    <row r="12" ht="76" customHeight="1">
      <c r="A12" s="15" t="n"/>
      <c r="B12" s="16" t="n"/>
      <c r="C12" s="17" t="n"/>
      <c r="D12" s="15" t="inlineStr">
        <is>
          <t>C</t>
        </is>
      </c>
      <c r="E12" s="17" t="inlineStr">
        <is>
          <t>Nem döntesz egyedül: a következő bizottsági ülésen nyilvánosan ismerteted az ajánlatot, és közösen döntötök róla. Elképzelhető, hogy a cég ezután visszalép, mert nem kedveli a nyilvánosságot.</t>
        </is>
      </c>
      <c r="F12" s="17" t="inlineStr">
        <is>
          <t>Mintzberg információelosztó szerepe</t>
        </is>
      </c>
      <c r="G12" s="17" t="inlineStr">
        <is>
          <t>Mintzberg információelosztó szerepében a vezető továbbadja a hozzá befutó információt azoknak, akiknek szükségük van rá. Így az ajánlat a bizottság közös ügye lett, nem egy folyosói beszélgetés titka. A nyitottság ára, hogy egy jó ajánlat is elveszhet, és a döntés felelősségén másokkal osztozol.</t>
        </is>
      </c>
      <c r="H12" s="18" t="n">
        <v>1</v>
      </c>
      <c r="I12" s="18" t="n">
        <v>3</v>
      </c>
      <c r="J12" s="18" t="n">
        <v>0</v>
      </c>
      <c r="K12" s="18" t="n">
        <v>-1</v>
      </c>
      <c r="L12" s="18" t="n">
        <v>1</v>
      </c>
      <c r="M12" s="19">
        <f>ROUND(3*(0.22*H12+0.22*I12+0.2*J12+0.18*K12+0.18*L12),1)</f>
        <v/>
      </c>
      <c r="N12" s="20">
        <f>IF(COUNT(H12:L12)&lt;5,"hiányzó pont",IF(OR(MIN(H12:L12)&lt;-3,MAX(H12:L12)&gt;3),"−3…+3 közé",IF(COUNTIF(H12:L12,"&gt;0")=0,"kell pozitív is",IF(COUNTIF(H12:L12,"&lt;0")=0,"kell negatív is","rendben"))))</f>
        <v/>
      </c>
    </row>
    <row r="13" ht="90" customHeight="1">
      <c r="A13" s="15" t="n"/>
      <c r="B13" s="16" t="n"/>
      <c r="C13" s="17" t="n"/>
      <c r="D13" s="15" t="inlineStr">
        <is>
          <t>D</t>
        </is>
      </c>
      <c r="E13" s="17" t="inlineStr">
        <is>
          <t>Egy ennyire megbízható cég ajánlatában nem látsz nagy kockázatot. Négyszemközt arra kéred őket, hogy tegyenek még jobb ajánlatot, és addig senkinek sem szólsz róla.</t>
        </is>
      </c>
      <c r="F13" s="17" t="inlineStr">
        <is>
          <t>Halo-effektus</t>
        </is>
      </c>
      <c r="G13" s="17" t="inlineStr">
        <is>
          <t>A halo-effektus azt jelenti, hogy egyetlen kiemelkedő tulajdonság alapján alkotunk általános véleményt valakiről. A cég pontos járatai miatt az ajánlatát is megbízhatónak láttad, pedig a kettőnek nincs köze egymáshoz: a buszok pontossága semmit sem mond arról, tisztességes-e egy pályázat nélküli üzlet. A titkos alku jobb feltételeket hozhat, de ha kiderül, az egész bizottságot magával rántja.</t>
        </is>
      </c>
      <c r="H13" s="18" t="n">
        <v>1</v>
      </c>
      <c r="I13" s="18" t="n">
        <v>-3</v>
      </c>
      <c r="J13" s="18" t="n">
        <v>-1</v>
      </c>
      <c r="K13" s="18" t="n">
        <v>-1</v>
      </c>
      <c r="L13" s="18" t="n">
        <v>0</v>
      </c>
      <c r="M13" s="19">
        <f>ROUND(3*(0.22*H13+0.22*I13+0.2*J13+0.18*K13+0.18*L13),1)</f>
        <v/>
      </c>
      <c r="N13" s="20">
        <f>IF(COUNT(H13:L13)&lt;5,"hiányzó pont",IF(OR(MIN(H13:L13)&lt;-3,MAX(H13:L13)&gt;3),"−3…+3 közé",IF(COUNTIF(H13:L13,"&gt;0")=0,"kell pozitív is",IF(COUNTIF(H13:L13,"&lt;0")=0,"kell negatív is","rendben"))))</f>
        <v/>
      </c>
    </row>
    <row r="14" ht="76" customHeight="1">
      <c r="A14" s="9" t="n">
        <v>4</v>
      </c>
      <c r="B14" s="10" t="inlineStr">
        <is>
          <t>Személyeskedő támadás a bizottságban</t>
        </is>
      </c>
      <c r="C14" s="11" t="inlineStr">
        <is>
          <t>A bizottsági vitában felszólal Kardos Ilona, az ellenzék képviselője, aki húsz évig tanított egy falusi iskolában. Hangosan, személyeskedve támad: szerinte csak azért akarsz iskolákat bezárni, mert sosem éltél vidéken. A helyetted, aki egyben a párttársad is, odasúgja, hogy ne foglalkozz vele, csak a kameráknak játszik. Az egész terem rád figyel.</t>
        </is>
      </c>
      <c r="D14" s="9" t="inlineStr">
        <is>
          <t>A</t>
        </is>
      </c>
      <c r="E14" s="11" t="inlineStr">
        <is>
          <t>Szünetet rendelsz el, és négyszemközt próbálsz megegyezni Kardos Ilonával: ha az ő két iskolája ügyét külön megvizsgáljátok, ő cserébe visszafogottabb lesz a nyilvános vitában.</t>
        </is>
      </c>
      <c r="F14" s="11" t="inlineStr">
        <is>
          <t>Mintzberg tárgyaló szerepe</t>
        </is>
      </c>
      <c r="G14" s="11" t="inlineStr">
        <is>
          <t>Mintzberg tárgyaló szerepében a vezető alkuval szerez támogatást vagy nyugalmat. A négyszemközti megállapodás lecsillapíthatja a vitát, és a két iskola ügye is előrébb juthat. A nyilvánosság viszont kimarad belőle: a bizottság többi tagja és a sajtó csak annyit lát, hogy a vita hirtelen elcsendesedett.</t>
        </is>
      </c>
      <c r="H14" s="12" t="n">
        <v>0</v>
      </c>
      <c r="I14" s="12" t="n">
        <v>-2</v>
      </c>
      <c r="J14" s="12" t="n">
        <v>1</v>
      </c>
      <c r="K14" s="12" t="n">
        <v>1</v>
      </c>
      <c r="L14" s="12" t="n">
        <v>1</v>
      </c>
      <c r="M14" s="13">
        <f>ROUND(3*(0.22*H14+0.22*I14+0.2*J14+0.18*K14+0.18*L14),1)</f>
        <v/>
      </c>
      <c r="N14" s="14">
        <f>IF(COUNT(H14:L14)&lt;5,"hiányzó pont",IF(OR(MIN(H14:L14)&lt;-3,MAX(H14:L14)&gt;3),"−3…+3 közé",IF(COUNTIF(H14:L14,"&gt;0")=0,"kell pozitív is",IF(COUNTIF(H14:L14,"&lt;0")=0,"kell negatív is","rendben"))))</f>
        <v/>
      </c>
    </row>
    <row r="15" ht="90" customHeight="1">
      <c r="A15" s="15" t="n"/>
      <c r="B15" s="16" t="n"/>
      <c r="C15" s="17" t="n"/>
      <c r="D15" s="15" t="inlineStr">
        <is>
          <t>B</t>
        </is>
      </c>
      <c r="E15" s="17" t="inlineStr">
        <is>
          <t>Egyetértesz a helyetteseddel: az ellenzék csak a kameráknak beszél. Röviden közlöd, hogy a bizottság nem személyes sérelmekről, hanem számokról vitázik, és továbblépsz.</t>
        </is>
      </c>
      <c r="F15" s="17" t="inlineStr">
        <is>
          <t>Alapvető attribúciós hiba</t>
        </is>
      </c>
      <c r="G15" s="17" t="inlineStr">
        <is>
          <t>Az alapvető attribúciós hiba az a hajlamunk, hogy mások viselkedését a jellemükkel vagy a szándékaikkal magyarázzuk, a körülmények hatását pedig alábecsüljük. Ha Kardos Ilona felszólalását puszta politikai színjátéknak látod, elsikkad, hogy húsz év falusi tapasztalatából beszél. A vita rendezett marad, a mögötte meghúzódó valódi aggodalom viszont válasz nélkül.</t>
        </is>
      </c>
      <c r="H15" s="18" t="n">
        <v>2</v>
      </c>
      <c r="I15" s="18" t="n">
        <v>-1</v>
      </c>
      <c r="J15" s="18" t="n">
        <v>-2</v>
      </c>
      <c r="K15" s="18" t="n">
        <v>0</v>
      </c>
      <c r="L15" s="18" t="n">
        <v>-2</v>
      </c>
      <c r="M15" s="19">
        <f>ROUND(3*(0.22*H15+0.22*I15+0.2*J15+0.18*K15+0.18*L15),1)</f>
        <v/>
      </c>
      <c r="N15" s="20">
        <f>IF(COUNT(H15:L15)&lt;5,"hiányzó pont",IF(OR(MIN(H15:L15)&lt;-3,MAX(H15:L15)&gt;3),"−3…+3 közé",IF(COUNTIF(H15:L15,"&gt;0")=0,"kell pozitív is",IF(COUNTIF(H15:L15,"&lt;0")=0,"kell negatív is","rendben"))))</f>
        <v/>
      </c>
    </row>
    <row r="16" ht="90" customHeight="1">
      <c r="A16" s="15" t="n"/>
      <c r="B16" s="16" t="n"/>
      <c r="C16" s="17" t="n"/>
      <c r="D16" s="15" t="inlineStr">
        <is>
          <t>C</t>
        </is>
      </c>
      <c r="E16" s="17" t="inlineStr">
        <is>
          <t>Nyugodtan megkéred, hogy nevezzen meg két iskolát, ahol szerinte hibásak a számok, és felajánlod, hogy jövő héten közösen újraszámoljátok őket. Ezzel teret adsz neki, a vita viszont elhúzódik.</t>
        </is>
      </c>
      <c r="F16" s="17" t="inlineStr">
        <is>
          <t>Pártfogó és vizsgálódó magatartás</t>
        </is>
      </c>
      <c r="G16" s="17" t="inlineStr">
        <is>
          <t>A jegyzet kétféle vitamagatartást állít szembe: a pártfogó a saját álláspontját védi, és a másikét igyekszik elhallgattatni, a vizsgálódó pedig a vitapartnerrel közösen teszi próbára az érveket. Te az utóbbit választottad: a támadás mögötti tapasztalatból olyan kérdést csináltál, amelyet meg lehet vizsgálni. A vita tartalmasabb lesz, de időbe telik, és a párttársaid gyengeségnek láthatják.</t>
        </is>
      </c>
      <c r="H16" s="18" t="n">
        <v>-1</v>
      </c>
      <c r="I16" s="18" t="n">
        <v>2</v>
      </c>
      <c r="J16" s="18" t="n">
        <v>2</v>
      </c>
      <c r="K16" s="18" t="n">
        <v>1</v>
      </c>
      <c r="L16" s="18" t="n">
        <v>2</v>
      </c>
      <c r="M16" s="19">
        <f>ROUND(3*(0.22*H16+0.22*I16+0.2*J16+0.18*K16+0.18*L16),1)</f>
        <v/>
      </c>
      <c r="N16" s="20">
        <f>IF(COUNT(H16:L16)&lt;5,"hiányzó pont",IF(OR(MIN(H16:L16)&lt;-3,MAX(H16:L16)&gt;3),"−3…+3 közé",IF(COUNTIF(H16:L16,"&gt;0")=0,"kell pozitív is",IF(COUNTIF(H16:L16,"&lt;0")=0,"kell negatív is","rendben"))))</f>
        <v/>
      </c>
    </row>
    <row r="17" ht="90" customHeight="1">
      <c r="A17" s="15" t="n"/>
      <c r="B17" s="16" t="n"/>
      <c r="C17" s="17" t="n"/>
      <c r="D17" s="15" t="inlineStr">
        <is>
          <t>D</t>
        </is>
      </c>
      <c r="E17" s="17" t="inlineStr">
        <is>
          <t>A menetrend a legfontosabb: lezárod a vitát, és továbblépsz a következő napirendi pontra, hogy a bizottság még ebben a hónapban szavazhasson.</t>
        </is>
      </c>
      <c r="F17" s="17" t="inlineStr">
        <is>
          <t>Autokratikus döntés</t>
        </is>
      </c>
      <c r="G17" s="17" t="inlineStr">
        <is>
          <t>A jegyzet csoportos döntési modelljei közül az autokratikus döntésnél a vezető egyedül dönt, a tagok alig vesznek részt benne. Ez gyors, és időhiányban indokolt is lehet, de ha a tagok nem értenek egyet, alig fognak elköteleződni a végrehajtás mellett. A bizottság időben szavazhat — csak éppen kevesebbet tud arról, amiről szavaz.</t>
        </is>
      </c>
      <c r="H17" s="18" t="n">
        <v>2</v>
      </c>
      <c r="I17" s="18" t="n">
        <v>-2</v>
      </c>
      <c r="J17" s="18" t="n">
        <v>-2</v>
      </c>
      <c r="K17" s="18" t="n">
        <v>-1</v>
      </c>
      <c r="L17" s="18" t="n">
        <v>-2</v>
      </c>
      <c r="M17" s="19">
        <f>ROUND(3*(0.22*H17+0.22*I17+0.2*J17+0.18*K17+0.18*L17),1)</f>
        <v/>
      </c>
      <c r="N17" s="20">
        <f>IF(COUNT(H17:L17)&lt;5,"hiányzó pont",IF(OR(MIN(H17:L17)&lt;-3,MAX(H17:L17)&gt;3),"−3…+3 közé",IF(COUNTIF(H17:L17,"&gt;0")=0,"kell pozitív is",IF(COUNTIF(H17:L17,"&lt;0")=0,"kell negatív is","rendben"))))</f>
        <v/>
      </c>
    </row>
    <row r="18" ht="76" customHeight="1">
      <c r="A18" s="9" t="n">
        <v>5</v>
      </c>
      <c r="B18" s="10" t="inlineStr">
        <is>
          <t>Három bezárási változat</t>
        </is>
      </c>
      <c r="C18" s="11" t="inlineStr">
        <is>
          <t>A bizottság asztalán három változat fekszik. Az első mind a negyven iskolát bezárná: ezzel lehetne a legtöbbet spórolni. A második húszat zárna be, a többiben összevont osztályok indulnának. A harmadik minden iskolát megtartana, de akkor máshonnan kellene elvenni a pénzt, valószínűleg az egészségügytől. A frakció még ezen a héten döntést vár.</t>
        </is>
      </c>
      <c r="D18" s="9" t="inlineStr">
        <is>
          <t>A</t>
        </is>
      </c>
      <c r="E18" s="11" t="inlineStr">
        <is>
          <t>Nem akarsz szembemenni a pártoddal: a frakcióülésre bízod, melyik változatot támogassa a bizottság, te pedig csak levezeted a szavazást.</t>
        </is>
      </c>
      <c r="F18" s="11" t="inlineStr">
        <is>
          <t>A döntés elhárítása</t>
        </is>
      </c>
      <c r="G18" s="11" t="inlineStr">
        <is>
          <t>A jegyzet a döntéshozói magatartások között említi a döntés elhárítását: a vezető másra hárítja a döntést, és a formális megoldást választja. Ez megkímél a párton belüli konfliktustól, és a frakció is elégedett. Bizottsági elnökként azonban éppen azt a felelősséget adod ki a kezedből, amiért ott ülsz.</t>
        </is>
      </c>
      <c r="H18" s="12" t="n">
        <v>2</v>
      </c>
      <c r="I18" s="12" t="n">
        <v>0</v>
      </c>
      <c r="J18" s="12" t="n">
        <v>-1</v>
      </c>
      <c r="K18" s="12" t="n">
        <v>-3</v>
      </c>
      <c r="L18" s="12" t="n">
        <v>1</v>
      </c>
      <c r="M18" s="13">
        <f>ROUND(3*(0.22*H18+0.22*I18+0.2*J18+0.18*K18+0.18*L18),1)</f>
        <v/>
      </c>
      <c r="N18" s="14">
        <f>IF(COUNT(H18:L18)&lt;5,"hiányzó pont",IF(OR(MIN(H18:L18)&lt;-3,MAX(H18:L18)&gt;3),"−3…+3 közé",IF(COUNTIF(H18:L18,"&gt;0")=0,"kell pozitív is",IF(COUNTIF(H18:L18,"&lt;0")=0,"kell negatív is","rendben"))))</f>
        <v/>
      </c>
    </row>
    <row r="19" ht="90" customHeight="1">
      <c r="A19" s="15" t="n"/>
      <c r="B19" s="16" t="n"/>
      <c r="C19" s="17" t="n"/>
      <c r="D19" s="15" t="inlineStr">
        <is>
          <t>B</t>
        </is>
      </c>
      <c r="E19" s="17" t="inlineStr">
        <is>
          <t>A költségvetési célt helyezed előtérbe: a pénzügyminisztérium ezt a számot várja, és ha a bizottság nem teljesíti, máshonnan fogják elvenni a pénzt. Az első változatot támogatod.</t>
        </is>
      </c>
      <c r="F19" s="17" t="inlineStr">
        <is>
          <t>Korlátozott racionalitás, kielégítő döntés</t>
        </is>
      </c>
      <c r="G19" s="17" t="inlineStr">
        <is>
          <t>Simon szerint a valóságban korlátozott racionalitással döntünk: nem mérlegelünk minden szempontot, hanem az első olyan megoldást választjuk, amely eléri az elvárt szintet. Itt a megtakarítási cél volt az elvárt szint, és az első változat ezt teljesíti. A döntés gyors és védhető, a többi szempont — az utazás, a közösségek sorsa — viszont kimaradt a mérlegelésből.</t>
        </is>
      </c>
      <c r="H19" s="18" t="n">
        <v>2</v>
      </c>
      <c r="I19" s="18" t="n">
        <v>1</v>
      </c>
      <c r="J19" s="18" t="n">
        <v>-2</v>
      </c>
      <c r="K19" s="18" t="n">
        <v>1</v>
      </c>
      <c r="L19" s="18" t="n">
        <v>-3</v>
      </c>
      <c r="M19" s="19">
        <f>ROUND(3*(0.22*H19+0.22*I19+0.2*J19+0.18*K19+0.18*L19),1)</f>
        <v/>
      </c>
      <c r="N19" s="20">
        <f>IF(COUNT(H19:L19)&lt;5,"hiányzó pont",IF(OR(MIN(H19:L19)&lt;-3,MAX(H19:L19)&gt;3),"−3…+3 közé",IF(COUNTIF(H19:L19,"&gt;0")=0,"kell pozitív is",IF(COUNTIF(H19:L19,"&lt;0")=0,"kell negatív is","rendben"))))</f>
        <v/>
      </c>
    </row>
    <row r="20" ht="90" customHeight="1">
      <c r="A20" s="15" t="n"/>
      <c r="B20" s="16" t="n"/>
      <c r="C20" s="17" t="n"/>
      <c r="D20" s="15" t="inlineStr">
        <is>
          <t>C</t>
        </is>
      </c>
      <c r="E20" s="17" t="inlineStr">
        <is>
          <t>Mindhárom változatnál leírod, mit nyer és mit veszít vele egy konkrét bükkfalvi család: mennyit utazik a gyerek, mi lesz a helyi tanítóval és magával a faluval. Ezt állítod a vita középpontjába, még ha érzelmesebbé is válik tőle.</t>
        </is>
      </c>
      <c r="F20" s="17" t="inlineStr">
        <is>
          <t>PrOACT: következmények és átváltások</t>
        </is>
      </c>
      <c r="G20" s="17" t="inlineStr">
        <is>
          <t>A PrOACT-modell utolsó két lépése, hogy minden változatnál feltérképezzük a következményeket, és nyíltan mérlegeljük, mit adunk fel és mit kapunk cserébe. Egy konkrét család mindennapjain keresztül ez a mérlegelés kézzelfoghatóvá válik. A vita emberibb lesz, de nehezebben számszerűsíthető, és a számokat váró frakciót kevésbé győzi meg.</t>
        </is>
      </c>
      <c r="H20" s="18" t="n">
        <v>-1</v>
      </c>
      <c r="I20" s="18" t="n">
        <v>2</v>
      </c>
      <c r="J20" s="18" t="n">
        <v>1</v>
      </c>
      <c r="K20" s="18" t="n">
        <v>1</v>
      </c>
      <c r="L20" s="18" t="n">
        <v>2</v>
      </c>
      <c r="M20" s="19">
        <f>ROUND(3*(0.22*H20+0.22*I20+0.2*J20+0.18*K20+0.18*L20),1)</f>
        <v/>
      </c>
      <c r="N20" s="20">
        <f>IF(COUNT(H20:L20)&lt;5,"hiányzó pont",IF(OR(MIN(H20:L20)&lt;-3,MAX(H20:L20)&gt;3),"−3…+3 közé",IF(COUNTIF(H20:L20,"&gt;0")=0,"kell pozitív is",IF(COUNTIF(H20:L20,"&lt;0")=0,"kell negatív is","rendben"))))</f>
        <v/>
      </c>
    </row>
    <row r="21" ht="104" customHeight="1">
      <c r="A21" s="15" t="n"/>
      <c r="B21" s="16" t="n"/>
      <c r="C21" s="17" t="n"/>
      <c r="D21" s="15" t="inlineStr">
        <is>
          <t>D</t>
        </is>
      </c>
      <c r="E21" s="17" t="inlineStr">
        <is>
          <t>Egymás mellé teszed a három változatot négy szempont szerint: megtakarítás, utazási idő, a tanítás minősége és a falvak megtartása. Először azt nézed meg, van-e köztük olyan, amelyik minden szempontból rosszabb valamelyik másiknál. Ha van, kihúzzátok, és csak a maradékról vitáztok. Ez alapos munka, de legalább egy hétbe telik.</t>
        </is>
      </c>
      <c r="F21" s="17" t="inlineStr">
        <is>
          <t>Dominancia elve</t>
        </is>
      </c>
      <c r="G21" s="17" t="inlineStr">
        <is>
          <t>A dominancia elve szerint ha egy változat semmilyen szempontból nem jobb egy másiknál, és legalább egyben rosszabb, nyugodtan kihúzhatjuk, még mielőtt bonyolult mérlegelésbe kezdenénk. Így a vita a valóban versengő változatokra szűkül. A módszer tisztázza a választást, de az értékkérdést — mennyit ér egy falunak az iskolája — nem dönti el helyetted, a frakció pedig közben egyre türelmetlenebb.</t>
        </is>
      </c>
      <c r="H21" s="18" t="n">
        <v>-1</v>
      </c>
      <c r="I21" s="18" t="n">
        <v>2</v>
      </c>
      <c r="J21" s="18" t="n">
        <v>3</v>
      </c>
      <c r="K21" s="18" t="n">
        <v>0</v>
      </c>
      <c r="L21" s="18" t="n">
        <v>1</v>
      </c>
      <c r="M21" s="19">
        <f>ROUND(3*(0.22*H21+0.22*I21+0.2*J21+0.18*K21+0.18*L21),1)</f>
        <v/>
      </c>
      <c r="N21" s="20">
        <f>IF(COUNT(H21:L21)&lt;5,"hiányzó pont",IF(OR(MIN(H21:L21)&lt;-3,MAX(H21:L21)&gt;3),"−3…+3 közé",IF(COUNTIF(H21:L21,"&gt;0")=0,"kell pozitív is",IF(COUNTIF(H21:L21,"&lt;0")=0,"kell negatív is","rendben"))))</f>
        <v/>
      </c>
    </row>
    <row r="22" ht="90" customHeight="1">
      <c r="A22" s="9" t="n">
        <v>6</v>
      </c>
      <c r="B22" s="10" t="inlineStr">
        <is>
          <t>Iskolabezárás a választás előtt</t>
        </is>
      </c>
      <c r="C22" s="11" t="inlineStr">
        <is>
          <t>A következő fórumra menet az egyik tanácsadód kimondja, amit mindenki gondol: a megtakarítás csak öt év múlva jelentkezne, a parlamenti választás viszont jövő tavasszal lesz, és az érintett körzetek közül hat billegő. Ha most zártok be iskolákat, ezekben elveszíthetitek a választást. A frakció is ezt figyeli.</t>
        </is>
      </c>
      <c r="D22" s="9" t="inlineStr">
        <is>
          <t>A</t>
        </is>
      </c>
      <c r="E22" s="11" t="inlineStr">
        <is>
          <t>Vállalod a menetrendet a választás előtt is, és nyilvánosan elmondod, miért: a takarékossági csomagot most kell végrehajtani. Tudod, hogy ez mandátumokba kerülhet a pártodnak.</t>
        </is>
      </c>
      <c r="F22" s="11" t="inlineStr">
        <is>
          <t>Stratégiai és operatív döntés</t>
        </is>
      </c>
      <c r="G22" s="11" t="inlineStr">
        <is>
          <t>A jegyzet szerint a stratégiai döntés alapvető változást indít el, és hosszú távra kijelöli a működés kereteit, míg az operatív döntés a napi működést szolgálja. Ha egy stratégiai döntés ütemezését a választási naptár diktálja, a döntés rövid távú taktikává silányul. Te a hosszú távot vállaltad, és ezt ki is mondtad; az ára a saját pártod bizalma és néhány körzet.</t>
        </is>
      </c>
      <c r="H22" s="12" t="n">
        <v>3</v>
      </c>
      <c r="I22" s="12" t="n">
        <v>2</v>
      </c>
      <c r="J22" s="12" t="n">
        <v>1</v>
      </c>
      <c r="K22" s="12" t="n">
        <v>2</v>
      </c>
      <c r="L22" s="12" t="n">
        <v>-2</v>
      </c>
      <c r="M22" s="13">
        <f>ROUND(3*(0.22*H22+0.22*I22+0.2*J22+0.18*K22+0.18*L22),1)</f>
        <v/>
      </c>
      <c r="N22" s="14">
        <f>IF(COUNT(H22:L22)&lt;5,"hiányzó pont",IF(OR(MIN(H22:L22)&lt;-3,MAX(H22:L22)&gt;3),"−3…+3 közé",IF(COUNTIF(H22:L22,"&gt;0")=0,"kell pozitív is",IF(COUNTIF(H22:L22,"&lt;0")=0,"kell negatív is","rendben"))))</f>
        <v/>
      </c>
    </row>
    <row r="23" ht="90" customHeight="1">
      <c r="A23" s="15" t="n"/>
      <c r="B23" s="16" t="n"/>
      <c r="C23" s="17" t="n"/>
      <c r="D23" s="15" t="inlineStr">
        <is>
          <t>B</t>
        </is>
      </c>
      <c r="E23" s="17" t="inlineStr">
        <is>
          <t>Két ütemben haladtok: ahol a szülők maguk is kérik az összevonást, ott most kezditek, máshol két év múlva, a tapasztalatok alapján. Ez lassú és kissé igazságtalan, de tanulhattok belőle.</t>
        </is>
      </c>
      <c r="F23" s="17" t="inlineStr">
        <is>
          <t>Inkrementalizmus (átevickélés)</t>
        </is>
      </c>
      <c r="G23" s="17" t="inlineStr">
        <is>
          <t>Az inkrementalizmus azt jelenti, hogy nagy, átfogó megoldások helyett kis, fokozatos lépésekben haladunk, és menet közben tanulunk. Az önként jelentkező falvakkal kezdesz, a többiről pedig a tapasztalatok alapján döntesz. Ez csökkenti a kockázatot, de két, ugyanolyan helyzetben lévő falu másként járhat, és ez igazságtalannak tűnhet.</t>
        </is>
      </c>
      <c r="H23" s="18" t="n">
        <v>-2</v>
      </c>
      <c r="I23" s="18" t="n">
        <v>1</v>
      </c>
      <c r="J23" s="18" t="n">
        <v>2</v>
      </c>
      <c r="K23" s="18" t="n">
        <v>1</v>
      </c>
      <c r="L23" s="18" t="n">
        <v>2</v>
      </c>
      <c r="M23" s="19">
        <f>ROUND(3*(0.22*H23+0.22*I23+0.2*J23+0.18*K23+0.18*L23),1)</f>
        <v/>
      </c>
      <c r="N23" s="20">
        <f>IF(COUNT(H23:L23)&lt;5,"hiányzó pont",IF(OR(MIN(H23:L23)&lt;-3,MAX(H23:L23)&gt;3),"−3…+3 közé",IF(COUNTIF(H23:L23,"&gt;0")=0,"kell pozitív is",IF(COUNTIF(H23:L23,"&lt;0")=0,"kell negatív is","rendben"))))</f>
        <v/>
      </c>
    </row>
    <row r="24" ht="90" customHeight="1">
      <c r="A24" s="15" t="n"/>
      <c r="B24" s="16" t="n"/>
      <c r="C24" s="17" t="n"/>
      <c r="D24" s="15" t="inlineStr">
        <is>
          <t>C</t>
        </is>
      </c>
      <c r="E24" s="17" t="inlineStr">
        <is>
          <t>Most megszavaztatod a törvényt, de a bezárások csak a választás után kezdődnek. Így a döntés megszületik, a fájdalmas rész viszont később jön.</t>
        </is>
      </c>
      <c r="F24" s="17" t="inlineStr">
        <is>
          <t>A döntés halogatása</t>
        </is>
      </c>
      <c r="G24" s="17" t="inlineStr">
        <is>
          <t>A jegyzet a döntéshozói magatartások között írja le a döntés halogatását: a problémákat sürgős és nem sürgős csoportokba soroljuk, és kivárjuk, amíg a helyzet kikényszeríti a lépést. Formálisan döntöttél, a nehéz rész viszont a választás utánra tolódik. Ez politikailag okos húzás, de a falvak két évig bizonytalanságban élnek, és sokan átlátnak a szitán.</t>
        </is>
      </c>
      <c r="H24" s="18" t="n">
        <v>1</v>
      </c>
      <c r="I24" s="18" t="n">
        <v>-2</v>
      </c>
      <c r="J24" s="18" t="n">
        <v>1</v>
      </c>
      <c r="K24" s="18" t="n">
        <v>-1</v>
      </c>
      <c r="L24" s="18" t="n">
        <v>0</v>
      </c>
      <c r="M24" s="19">
        <f>ROUND(3*(0.22*H24+0.22*I24+0.2*J24+0.18*K24+0.18*L24),1)</f>
        <v/>
      </c>
      <c r="N24" s="20">
        <f>IF(COUNT(H24:L24)&lt;5,"hiányzó pont",IF(OR(MIN(H24:L24)&lt;-3,MAX(H24:L24)&gt;3),"−3…+3 közé",IF(COUNTIF(H24:L24,"&gt;0")=0,"kell pozitív is",IF(COUNTIF(H24:L24,"&lt;0")=0,"kell negatív is","rendben"))))</f>
        <v/>
      </c>
    </row>
    <row r="25" ht="90" customHeight="1">
      <c r="A25" s="15" t="n"/>
      <c r="B25" s="16" t="n"/>
      <c r="C25" s="17" t="n"/>
      <c r="D25" s="15" t="inlineStr">
        <is>
          <t>D</t>
        </is>
      </c>
      <c r="E25" s="17" t="inlineStr">
        <is>
          <t>A polgármesterekre bízod a döntést: minden falu maga dönthet az iskolájáról, és ahol megtartják, ott a kormány fizeti a különbözetet. Így senki sem mondhatja, hogy a feje fölött döntöttek — a megtakarítás jó része viszont elvész.</t>
        </is>
      </c>
      <c r="F25" s="17" t="inlineStr">
        <is>
          <t>Mintzberg erőforrás-elosztó szerepe</t>
        </is>
      </c>
      <c r="G25" s="17" t="inlineStr">
        <is>
          <t>Mintzberg erőforrás-elosztó szerepében a vezető dönti el, hová kerül a pénz és a figyelem, és ezzel alapvetően befolyásolja mások lehetőségeit. Ezt a szerepet most kiadtad a kezedből, és átengedted a polgármestereknek. Helyben elfogadottabb lesz a döntés, de a megtakarítási cél odaveszhet, és ezt neked kell majd megmagyaráznod a pénzügyminisztériumnak.</t>
        </is>
      </c>
      <c r="H25" s="18" t="n">
        <v>-1</v>
      </c>
      <c r="I25" s="18" t="n">
        <v>1</v>
      </c>
      <c r="J25" s="18" t="n">
        <v>-1</v>
      </c>
      <c r="K25" s="18" t="n">
        <v>-2</v>
      </c>
      <c r="L25" s="18" t="n">
        <v>3</v>
      </c>
      <c r="M25" s="19">
        <f>ROUND(3*(0.22*H25+0.22*I25+0.2*J25+0.18*K25+0.18*L25),1)</f>
        <v/>
      </c>
      <c r="N25" s="20">
        <f>IF(COUNT(H25:L25)&lt;5,"hiányzó pont",IF(OR(MIN(H25:L25)&lt;-3,MAX(H25:L25)&gt;3),"−3…+3 közé",IF(COUNTIF(H25:L25,"&gt;0")=0,"kell pozitív is",IF(COUNTIF(H25:L25,"&lt;0")=0,"kell negatív is","rendben"))))</f>
        <v/>
      </c>
    </row>
    <row r="26" ht="90" customHeight="1">
      <c r="A26" s="9" t="n">
        <v>7</v>
      </c>
      <c r="B26" s="10" t="inlineStr">
        <is>
          <t>Egy szavazaton múlik</t>
        </is>
      </c>
      <c r="C26" s="11" t="inlineStr">
        <is>
          <t>A bizottsági szavazás előtti estén összeszámolod a szavazatokat: egyetlen szavazaton múlik a többség. Ekkor felhív Szalai Péter, a saját párttársad: nemmel fog szavazni, hacsak le nem veszed a listáról a szülőfaluja iskoláját. Az ő faluja pontosan olyan, mint további tizenkét település a listán — csak azoknak nincs képviselőjük a bizottságban.</t>
        </is>
      </c>
      <c r="D26" s="9" t="inlineStr">
        <is>
          <t>A</t>
        </is>
      </c>
      <c r="E26" s="11" t="inlineStr">
        <is>
          <t>Nem alkuszol: megmondod Szalainak, hogy a lista szempontjai mindenkire ugyanúgy vonatkoznak. Tudod, hogy ha nemmel szavaz, holnap elbukik a javaslat.</t>
        </is>
      </c>
      <c r="F26" s="11" t="inlineStr">
        <is>
          <t>Mintzberg vezető szerepe</t>
        </is>
      </c>
      <c r="G26" s="11" t="inlineStr">
        <is>
          <t>Mintzberg vezető szerepe a vezető és a csapata közötti viszonyról szól: milyen mércét állít fel, és hogyan tartja magát hozzá. Azzal, hogy a saját párttársadnak sem teszel kivételt, egyértelművé teszed, mi számít a bizottságban. Ez a következetesség tiszteletet szerez, de megvan a kockázata, hogy hetek munkája egyetlen szavazaton bukik el.</t>
        </is>
      </c>
      <c r="H26" s="12" t="n">
        <v>3</v>
      </c>
      <c r="I26" s="12" t="n">
        <v>1</v>
      </c>
      <c r="J26" s="12" t="n">
        <v>-1</v>
      </c>
      <c r="K26" s="12" t="n">
        <v>2</v>
      </c>
      <c r="L26" s="12" t="n">
        <v>-1</v>
      </c>
      <c r="M26" s="13">
        <f>ROUND(3*(0.22*H26+0.22*I26+0.2*J26+0.18*K26+0.18*L26),1)</f>
        <v/>
      </c>
      <c r="N26" s="14">
        <f>IF(COUNT(H26:L26)&lt;5,"hiányzó pont",IF(OR(MIN(H26:L26)&lt;-3,MAX(H26:L26)&gt;3),"−3…+3 közé",IF(COUNTIF(H26:L26,"&gt;0")=0,"kell pozitív is",IF(COUNTIF(H26:L26,"&lt;0")=0,"kell negatív is","rendben"))))</f>
        <v/>
      </c>
    </row>
    <row r="27" ht="90" customHeight="1">
      <c r="A27" s="15" t="n"/>
      <c r="B27" s="16" t="n"/>
      <c r="C27" s="17" t="n"/>
      <c r="D27" s="15" t="inlineStr">
        <is>
          <t>B</t>
        </is>
      </c>
      <c r="E27" s="17" t="inlineStr">
        <is>
          <t>Leveszed a listáról Szalai faluját — de ugyanezen az alapon az összes hasonló falut is. A szavazás így átmegy, a megtakarítás viszont a harmadával csökken, és ezt a pénzügyminisztériumnak is meg kell magyaráznod.</t>
        </is>
      </c>
      <c r="F27" s="17" t="inlineStr">
        <is>
          <t>Programozott döntés</t>
        </is>
      </c>
      <c r="G27" s="17" t="inlineStr">
        <is>
          <t>Simon programozott döntésnek nevezi azt, amelyre előre rögzített szabály van, így minden hasonló esetben ugyanaz a megoldás születik. Te Szalai egyéni kéréséből olyan szabályt csináltál, amely minden hasonló falura érvényes. Ez igazságos és védhető, de drága: kisebb lesz a megtakarítás, és a minisztérium joggal kérdezi, miért változott meg a számítás az utolsó éjszakán.</t>
        </is>
      </c>
      <c r="H27" s="18" t="n">
        <v>-1</v>
      </c>
      <c r="I27" s="18" t="n">
        <v>1</v>
      </c>
      <c r="J27" s="18" t="n">
        <v>0</v>
      </c>
      <c r="K27" s="18" t="n">
        <v>1</v>
      </c>
      <c r="L27" s="18" t="n">
        <v>2</v>
      </c>
      <c r="M27" s="19">
        <f>ROUND(3*(0.22*H27+0.22*I27+0.2*J27+0.18*K27+0.18*L27),1)</f>
        <v/>
      </c>
      <c r="N27" s="20">
        <f>IF(COUNT(H27:L27)&lt;5,"hiányzó pont",IF(OR(MIN(H27:L27)&lt;-3,MAX(H27:L27)&gt;3),"−3…+3 közé",IF(COUNTIF(H27:L27,"&gt;0")=0,"kell pozitív is",IF(COUNTIF(H27:L27,"&lt;0")=0,"kell negatív is","rendben"))))</f>
        <v/>
      </c>
    </row>
    <row r="28" ht="104" customHeight="1">
      <c r="A28" s="15" t="n"/>
      <c r="B28" s="16" t="n"/>
      <c r="C28" s="17" t="n"/>
      <c r="D28" s="15" t="inlineStr">
        <is>
          <t>C</t>
        </is>
      </c>
      <c r="E28" s="17" t="inlineStr">
        <is>
          <t>Egy héttel elhalasztod a szavazást, és addig meghallgatod az összes érintett falu polgármesterét, hogy lásd, kinek mennyi múlik a döntésen, és kinek mekkora a beleszólása.</t>
        </is>
      </c>
      <c r="F28" s="17" t="inlineStr">
        <is>
          <t>Érintett-térkép és érintetterőtér</t>
        </is>
      </c>
      <c r="G28" s="17" t="inlineStr">
        <is>
          <t>Az érintett-térkép számba veszi, kikre hat a döntés, az érintetterőtér pedig megmutatja, kinek mennyi múlik rajta, és mekkora a befolyása. Szalai nagy befolyású érintett, a tizenkét másik falu viszont kiszolgáltatott helyzetben van: őket is nagyon érinti a döntés, de alig van beleszólásuk. A meghallgatás kiegyensúlyozza a képet, de a csúszás a frakció türelmét és a menetrendet is próbára teszi.</t>
        </is>
      </c>
      <c r="H28" s="18" t="n">
        <v>-2</v>
      </c>
      <c r="I28" s="18" t="n">
        <v>1</v>
      </c>
      <c r="J28" s="18" t="n">
        <v>2</v>
      </c>
      <c r="K28" s="18" t="n">
        <v>0</v>
      </c>
      <c r="L28" s="18" t="n">
        <v>3</v>
      </c>
      <c r="M28" s="19">
        <f>ROUND(3*(0.22*H28+0.22*I28+0.2*J28+0.18*K28+0.18*L28),1)</f>
        <v/>
      </c>
      <c r="N28" s="20">
        <f>IF(COUNT(H28:L28)&lt;5,"hiányzó pont",IF(OR(MIN(H28:L28)&lt;-3,MAX(H28:L28)&gt;3),"−3…+3 közé",IF(COUNTIF(H28:L28,"&gt;0")=0,"kell pozitív is",IF(COUNTIF(H28:L28,"&lt;0")=0,"kell negatív is","rendben"))))</f>
        <v/>
      </c>
    </row>
    <row r="29" ht="104" customHeight="1">
      <c r="A29" s="15" t="n"/>
      <c r="B29" s="16" t="n"/>
      <c r="C29" s="17" t="n"/>
      <c r="D29" s="15" t="inlineStr">
        <is>
          <t>D</t>
        </is>
      </c>
      <c r="E29" s="17" t="inlineStr">
        <is>
          <t>Leveszed a listáról Szalai falujának iskoláját. A szavazás így biztosan átmegy, és a törvény — ha egy iskolával kevesebbre is — megvalósul.</t>
        </is>
      </c>
      <c r="F29" s="17" t="inlineStr">
        <is>
          <t>Formális moralitás detektor: az univerzalitás elve</t>
        </is>
      </c>
      <c r="G29" s="17" t="inlineStr">
        <is>
          <t>A jegyzetben szereplő formális moralitás detektorok közül az univerzalitás elve egyetlen kérdést tesz fel: jó lenne-e, ha mindenki minden hasonló helyzetben így döntene? Ha egy falu azért tarthatja meg az iskoláját, mert van képviselője a bizottságban, a többi hasonló falu joggal kérdezi, nekik miért nem jár ugyanez. A szavazást megnyerted, de azt a szabályt, amely szerint döntöttél, nyilvánosan nem vállalhatod.</t>
        </is>
      </c>
      <c r="H29" s="18" t="n">
        <v>-3</v>
      </c>
      <c r="I29" s="18" t="n">
        <v>-1</v>
      </c>
      <c r="J29" s="18" t="n">
        <v>1</v>
      </c>
      <c r="K29" s="18" t="n">
        <v>0</v>
      </c>
      <c r="L29" s="18" t="n">
        <v>1</v>
      </c>
      <c r="M29" s="19">
        <f>ROUND(3*(0.22*H29+0.22*I29+0.2*J29+0.18*K29+0.18*L29),1)</f>
        <v/>
      </c>
      <c r="N29" s="20">
        <f>IF(COUNT(H29:L29)&lt;5,"hiányzó pont",IF(OR(MIN(H29:L29)&lt;-3,MAX(H29:L29)&gt;3),"−3…+3 közé",IF(COUNTIF(H29:L29,"&gt;0")=0,"kell pozitív is",IF(COUNTIF(H29:L29,"&lt;0")=0,"kell negatív is","rendben"))))</f>
        <v/>
      </c>
    </row>
    <row r="30" ht="76" customHeight="1">
      <c r="A30" s="9" t="n">
        <v>8</v>
      </c>
      <c r="B30" s="10" t="inlineStr">
        <is>
          <t>Tüntetés a Parlament előtt</t>
        </is>
      </c>
      <c r="C30" s="11" t="inlineStr">
        <is>
          <t>A javaslat néhány módosítással a parlament elé kerül. Másnap egy videó terjed az egész országban: egy hétéves bükkfalvi kislány elmondja, hogy ha bezárják az iskoláját, hajnali ötkor kell majd buszra szállnia. Délutánra ezrek tüntetnek a Parlament előtt, és a táblákon a te neved is szerepel. A sajtó azonnali reakciót vár tőled.</t>
        </is>
      </c>
      <c r="D30" s="9" t="inlineStr">
        <is>
          <t>A</t>
        </is>
      </c>
      <c r="E30" s="11" t="inlineStr">
        <is>
          <t>Felhívod a kislány családját, és megígéred, hogy a falujuk iskolája megmarad. Estére megfordul a történet: a híradó már a telefonhívásodról szól.</t>
        </is>
      </c>
      <c r="F30" s="11" t="inlineStr">
        <is>
          <t>Utólagossági hatás</t>
        </is>
      </c>
      <c r="G30" s="11" t="inlineStr">
        <is>
          <t>Az utólagossági hatás azt jelenti, hogy a legfrissebb, legélénkebb információ köré rendezzük az egész képet. A videó volt a legutolsó és legerősebb benyomás, és az egész döntésedet ehhez igazítottad. A gesztus emberi, és gyorsan hat, de a többi falu most azt látja, hogy az számít, kinek a története kerül be a híradóba.</t>
        </is>
      </c>
      <c r="H30" s="12" t="n">
        <v>-3</v>
      </c>
      <c r="I30" s="12" t="n">
        <v>0</v>
      </c>
      <c r="J30" s="12" t="n">
        <v>-2</v>
      </c>
      <c r="K30" s="12" t="n">
        <v>1</v>
      </c>
      <c r="L30" s="12" t="n">
        <v>2</v>
      </c>
      <c r="M30" s="13">
        <f>ROUND(3*(0.22*H30+0.22*I30+0.2*J30+0.18*K30+0.18*L30),1)</f>
        <v/>
      </c>
      <c r="N30" s="14">
        <f>IF(COUNT(H30:L30)&lt;5,"hiányzó pont",IF(OR(MIN(H30:L30)&lt;-3,MAX(H30:L30)&gt;3),"−3…+3 közé",IF(COUNTIF(H30:L30,"&gt;0")=0,"kell pozitív is",IF(COUNTIF(H30:L30,"&lt;0")=0,"kell negatív is","rendben"))))</f>
        <v/>
      </c>
    </row>
    <row r="31" ht="90" customHeight="1">
      <c r="A31" s="15" t="n"/>
      <c r="B31" s="16" t="n"/>
      <c r="C31" s="17" t="n"/>
      <c r="D31" s="15" t="inlineStr">
        <is>
          <t>B</t>
        </is>
      </c>
      <c r="E31" s="17" t="inlineStr">
        <is>
          <t>Nem reagálsz: az ilyen hullámok két-három nap alatt elülnek, és minden nyilatkozat csak olaj a tűzre. Csendben folytatod a munkát.</t>
        </is>
      </c>
      <c r="F31" s="17" t="inlineStr">
        <is>
          <t>Problémakerülő magatartás</t>
        </is>
      </c>
      <c r="G31" s="17" t="inlineStr">
        <is>
          <t>A jegyzet háromféle vezetői stratégiát különít el: a problémakeresőt, a problémamegoldót és a problémakerülőt, aki nem vesz tudomást a valós problémákról. A hallgatás valóban nem ad újabb muníciót a vitához, és néha a hullám tényleg magától elül. A tüntetők viszont azt szűrik le, hogy a döntéshozó nem áll ki eléjük, és ez többe kerül a bizalomban, mint egy rossz nyilatkozat.</t>
        </is>
      </c>
      <c r="H31" s="18" t="n">
        <v>1</v>
      </c>
      <c r="I31" s="18" t="n">
        <v>-3</v>
      </c>
      <c r="J31" s="18" t="n">
        <v>0</v>
      </c>
      <c r="K31" s="18" t="n">
        <v>-2</v>
      </c>
      <c r="L31" s="18" t="n">
        <v>-2</v>
      </c>
      <c r="M31" s="19">
        <f>ROUND(3*(0.22*H31+0.22*I31+0.2*J31+0.18*K31+0.18*L31),1)</f>
        <v/>
      </c>
      <c r="N31" s="20">
        <f>IF(COUNT(H31:L31)&lt;5,"hiányzó pont",IF(OR(MIN(H31:L31)&lt;-3,MAX(H31:L31)&gt;3),"−3…+3 közé",IF(COUNTIF(H31:L31,"&gt;0")=0,"kell pozitív is",IF(COUNTIF(H31:L31,"&lt;0")=0,"kell negatív is","rendben"))))</f>
        <v/>
      </c>
    </row>
    <row r="32" ht="90" customHeight="1">
      <c r="A32" s="15" t="n"/>
      <c r="B32" s="16" t="n"/>
      <c r="C32" s="17" t="n"/>
      <c r="D32" s="15" t="inlineStr">
        <is>
          <t>C</t>
        </is>
      </c>
      <c r="E32" s="17" t="inlineStr">
        <is>
          <t>Közleményt adsz ki a pontos számokkal: a gyerekek átlagosan harmincöt percet fognak utazni, a hajnali indulás csak egyedi eset. A számok igazak, és nem kell kiállnod a tömeg elé.</t>
        </is>
      </c>
      <c r="F32" s="17" t="inlineStr">
        <is>
          <t>Az érzelmek szerepe az észlelésben</t>
        </is>
      </c>
      <c r="G32" s="17" t="inlineStr">
        <is>
          <t>A jegyzet szerint a legtöbb embernél az érzelmi reakciók jóval erősebbek a racionálisaknál: egy erős érzelmi töltetű történet mellett a pontos számok is háttérbe szorulnak. A kislány videója ilyen történet, és egy táblázat nem veheti fel vele a versenyt. A közleményed pontos és védhető, de az utcán állók nem fogják úgy érezni, hogy válaszoltál nekik.</t>
        </is>
      </c>
      <c r="H32" s="18" t="n">
        <v>1</v>
      </c>
      <c r="I32" s="18" t="n">
        <v>1</v>
      </c>
      <c r="J32" s="18" t="n">
        <v>1</v>
      </c>
      <c r="K32" s="18" t="n">
        <v>0</v>
      </c>
      <c r="L32" s="18" t="n">
        <v>-2</v>
      </c>
      <c r="M32" s="19">
        <f>ROUND(3*(0.22*H32+0.22*I32+0.2*J32+0.18*K32+0.18*L32),1)</f>
        <v/>
      </c>
      <c r="N32" s="20">
        <f>IF(COUNT(H32:L32)&lt;5,"hiányzó pont",IF(OR(MIN(H32:L32)&lt;-3,MAX(H32:L32)&gt;3),"−3…+3 közé",IF(COUNTIF(H32:L32,"&gt;0")=0,"kell pozitív is",IF(COUNTIF(H32:L32,"&lt;0")=0,"kell negatív is","rendben"))))</f>
        <v/>
      </c>
    </row>
    <row r="33" ht="76" customHeight="1">
      <c r="A33" s="15" t="n"/>
      <c r="B33" s="16" t="n"/>
      <c r="C33" s="17" t="n"/>
      <c r="D33" s="15" t="inlineStr">
        <is>
          <t>D</t>
        </is>
      </c>
      <c r="E33" s="17" t="inlineStr">
        <is>
          <t>Kimész a tüntetők közé, és elmondod, mit vállalsz és mit nem: a hajnali indulást nem engeded, de az összevonásokat nem vonod vissza. Tudod, hogy kifütyülhetnek, és minden szavadat felveszik.</t>
        </is>
      </c>
      <c r="F33" s="17" t="inlineStr">
        <is>
          <t>Mintzberg szóvivő szerepe</t>
        </is>
      </c>
      <c r="G33" s="17" t="inlineStr">
        <is>
          <t>Mintzberg szóvivő szerepében a vezető a kívülállókat tájékoztatja: elmondja, mit tesznek és miért. Ennek a legnehezebb és leghitelesebb formája, ha személyesen, a tüntetők előtt vállalsz egy kényelmetlen üzenetet. Ugyanakkor minden mondatod kötelezettséggé válik, amelyet később számon kérnek rajtad.</t>
        </is>
      </c>
      <c r="H33" s="18" t="n">
        <v>2</v>
      </c>
      <c r="I33" s="18" t="n">
        <v>2</v>
      </c>
      <c r="J33" s="18" t="n">
        <v>-1</v>
      </c>
      <c r="K33" s="18" t="n">
        <v>2</v>
      </c>
      <c r="L33" s="18" t="n">
        <v>1</v>
      </c>
      <c r="M33" s="19">
        <f>ROUND(3*(0.22*H33+0.22*I33+0.2*J33+0.18*K33+0.18*L33),1)</f>
        <v/>
      </c>
      <c r="N33" s="20">
        <f>IF(COUNT(H33:L33)&lt;5,"hiányzó pont",IF(OR(MIN(H33:L33)&lt;-3,MAX(H33:L33)&gt;3),"−3…+3 közé",IF(COUNTIF(H33:L33,"&gt;0")=0,"kell pozitív is",IF(COUNTIF(H33:L33,"&lt;0")=0,"kell negatív is","rendben"))))</f>
        <v/>
      </c>
    </row>
    <row r="34" ht="104" customHeight="1">
      <c r="A34" s="9" t="n">
        <v>9</v>
      </c>
      <c r="B34" s="10" t="inlineStr">
        <is>
          <t>A kedvezőtlen tanulmány</t>
        </is>
      </c>
      <c r="C34" s="11" t="inlineStr">
        <is>
          <t>A parlamenti zárószavazás reggelén egy minisztériumi munkatárs átad neked egy belső tanulmányt. Eszerint a megtakarítás negyven százalékkal kisebb lesz a tervezettnél, mert a buszok és a városi iskolák bővítése többe kerül. A tanulmány még nem végleges, és rajtad kívül csak néhányan látták. Két óra múlva kezdődik a vita, és te nyitod meg.</t>
        </is>
      </c>
      <c r="D34" s="9" t="inlineStr">
        <is>
          <t>A</t>
        </is>
      </c>
      <c r="E34" s="11" t="inlineStr">
        <is>
          <t>Megszavazzátok a törvényt, de beteszel egy záradékot: két év múlva független felülvizsgálatot tartanak, és ha a megtakarítás elmarad, a további bezárásokat felfüggesztik.</t>
        </is>
      </c>
      <c r="F34" s="11" t="inlineStr">
        <is>
          <t>Snowden–Boone: komplex helyzet</t>
        </is>
      </c>
      <c r="G34" s="11" t="inlineStr">
        <is>
          <t>Snowden és Boone szerint komplex helyzetben nincs előre ismert helyes válasz: az okok és a hatások csak menet közben derülnek ki, ezért a jó vezető kísérletezik, figyel, és kész korrigálni. A záradékkal ezt a tanulási lehetőséget építetted be a törvénybe. Bölcs megoldás, de félmegoldásnak is tűnhet: a tanulmányt nem hoztad nyilvánosságra, és a bezárások egy része akkor is megtörténik, ha a számok rosszak.</t>
        </is>
      </c>
      <c r="H34" s="12" t="n">
        <v>1</v>
      </c>
      <c r="I34" s="12" t="n">
        <v>-1</v>
      </c>
      <c r="J34" s="12" t="n">
        <v>2</v>
      </c>
      <c r="K34" s="12" t="n">
        <v>1</v>
      </c>
      <c r="L34" s="12" t="n">
        <v>0</v>
      </c>
      <c r="M34" s="13">
        <f>ROUND(3*(0.22*H34+0.22*I34+0.2*J34+0.18*K34+0.18*L34),1)</f>
        <v/>
      </c>
      <c r="N34" s="14">
        <f>IF(COUNT(H34:L34)&lt;5,"hiányzó pont",IF(OR(MIN(H34:L34)&lt;-3,MAX(H34:L34)&gt;3),"−3…+3 közé",IF(COUNTIF(H34:L34,"&gt;0")=0,"kell pozitív is",IF(COUNTIF(H34:L34,"&lt;0")=0,"kell negatív is","rendben"))))</f>
        <v/>
      </c>
    </row>
    <row r="35" ht="76" customHeight="1">
      <c r="A35" s="15" t="n"/>
      <c r="B35" s="16" t="n"/>
      <c r="C35" s="17" t="n"/>
      <c r="D35" s="15" t="inlineStr">
        <is>
          <t>B</t>
        </is>
      </c>
      <c r="E35" s="17" t="inlineStr">
        <is>
          <t>Nem említed: a tanulmány nem végleges, a törvény mellett a megtakarításon kívül is szólnak érvek, és egy félkész szám most csak zavart keltene.</t>
        </is>
      </c>
      <c r="F35" s="17" t="inlineStr">
        <is>
          <t>Szelektív hárítás</t>
        </is>
      </c>
      <c r="G35" s="17" t="inlineStr">
        <is>
          <t>Szelektív hárításról akkor beszélünk, amikor a kellemetlen, a kialakult képbe nem illő információt nem engedjük be. Az érvelésed nem alaptalan: a tanulmány valóban nem végleges. Ha azonban a számok később beigazolódnak, nem az lesz a kérdés, mit tudtál, hanem az, hogy miért hallgattál.</t>
        </is>
      </c>
      <c r="H35" s="18" t="n">
        <v>1</v>
      </c>
      <c r="I35" s="18" t="n">
        <v>-3</v>
      </c>
      <c r="J35" s="18" t="n">
        <v>-2</v>
      </c>
      <c r="K35" s="18" t="n">
        <v>-2</v>
      </c>
      <c r="L35" s="18" t="n">
        <v>0</v>
      </c>
      <c r="M35" s="19">
        <f>ROUND(3*(0.22*H35+0.22*I35+0.2*J35+0.18*K35+0.18*L35),1)</f>
        <v/>
      </c>
      <c r="N35" s="20">
        <f>IF(COUNT(H35:L35)&lt;5,"hiányzó pont",IF(OR(MIN(H35:L35)&lt;-3,MAX(H35:L35)&gt;3),"−3…+3 közé",IF(COUNTIF(H35:L35,"&gt;0")=0,"kell pozitív is",IF(COUNTIF(H35:L35,"&lt;0")=0,"kell negatív is","rendben"))))</f>
        <v/>
      </c>
    </row>
    <row r="36" ht="76" customHeight="1">
      <c r="A36" s="15" t="n"/>
      <c r="B36" s="16" t="n"/>
      <c r="C36" s="17" t="n"/>
      <c r="D36" s="15" t="inlineStr">
        <is>
          <t>C</t>
        </is>
      </c>
      <c r="E36" s="17" t="inlineStr">
        <is>
          <t>Megkéred a minisztert, hogy a szavazás előtt hivatalosan erősítse meg vagy cáfolja a számokat. Ha nem teszi meg, a minisztérium hivatalos adataira támaszkodva igennel szavazol.</t>
        </is>
      </c>
      <c r="F36" s="17" t="inlineStr">
        <is>
          <t>Ezredes-hatás</t>
        </is>
      </c>
      <c r="G36" s="17" t="inlineStr">
        <is>
          <t>Az ezredes-hatás az a hajlamunk, hogy a magas beosztású emberektől érkező információt hitelesebbnek tartjuk. Ha a miniszter hallgat, az ő hallgatását fogadod el végső szónak, pedig a tanulmány ugyanabból a minisztériumból származik. Ez formálisan védhető, de a döntés felelősségét másra hárítod.</t>
        </is>
      </c>
      <c r="H36" s="18" t="n">
        <v>1</v>
      </c>
      <c r="I36" s="18" t="n">
        <v>1</v>
      </c>
      <c r="J36" s="18" t="n">
        <v>-1</v>
      </c>
      <c r="K36" s="18" t="n">
        <v>-3</v>
      </c>
      <c r="L36" s="18" t="n">
        <v>0</v>
      </c>
      <c r="M36" s="19">
        <f>ROUND(3*(0.22*H36+0.22*I36+0.2*J36+0.18*K36+0.18*L36),1)</f>
        <v/>
      </c>
      <c r="N36" s="20">
        <f>IF(COUNT(H36:L36)&lt;5,"hiányzó pont",IF(OR(MIN(H36:L36)&lt;-3,MAX(H36:L36)&gt;3),"−3…+3 közé",IF(COUNTIF(H36:L36,"&gt;0")=0,"kell pozitív is",IF(COUNTIF(H36:L36,"&lt;0")=0,"kell negatív is","rendben"))))</f>
        <v/>
      </c>
    </row>
    <row r="37" ht="90" customHeight="1">
      <c r="A37" s="15" t="n"/>
      <c r="B37" s="16" t="n"/>
      <c r="C37" s="17" t="n"/>
      <c r="D37" s="15" t="inlineStr">
        <is>
          <t>D</t>
        </is>
      </c>
      <c r="E37" s="17" t="inlineStr">
        <is>
          <t>A felszólalásodban nyilvánosan beszélsz a tanulmányról, és kéred a szavazás elhalasztását, amíg a számokat nem ellenőrzik. A pártod ezt árulásnak fogja tekinteni.</t>
        </is>
      </c>
      <c r="F37" s="17" t="inlineStr">
        <is>
          <t>Drucker: a döntés tesztelése</t>
        </is>
      </c>
      <c r="G37" s="17" t="inlineStr">
        <is>
          <t>Drucker hatékony döntéshozatali lépései közül az utolsó az, hogy a döntés érvényességét az újabb események fényében folyamatosan ellenőrizzük: megállják-e még a helyüket a kiinduló feltevéseink? A tanulmány éppen ilyen új fejlemény, és te nem söpörted le az asztalról. Szakmailag ez tisztességes lépés, de politikailag súlyos ára van, és a halasztás alatt a falvak bizonytalanságban maradnak.</t>
        </is>
      </c>
      <c r="H37" s="18" t="n">
        <v>-1</v>
      </c>
      <c r="I37" s="18" t="n">
        <v>3</v>
      </c>
      <c r="J37" s="18" t="n">
        <v>3</v>
      </c>
      <c r="K37" s="18" t="n">
        <v>2</v>
      </c>
      <c r="L37" s="18" t="n">
        <v>0</v>
      </c>
      <c r="M37" s="19">
        <f>ROUND(3*(0.22*H37+0.22*I37+0.2*J37+0.18*K37+0.18*L37),1)</f>
        <v/>
      </c>
      <c r="N37" s="20">
        <f>IF(COUNT(H37:L37)&lt;5,"hiányzó pont",IF(OR(MIN(H37:L37)&lt;-3,MAX(H37:L37)&gt;3),"−3…+3 közé",IF(COUNTIF(H37:L37,"&gt;0")=0,"kell pozitív is",IF(COUNTIF(H37:L37,"&lt;0")=0,"kell negatív is","rendben"))))</f>
        <v/>
      </c>
    </row>
    <row r="38" ht="76" customHeight="1">
      <c r="A38" s="9" t="n">
        <v>10</v>
      </c>
      <c r="B38" s="10" t="inlineStr">
        <is>
          <t>Számvetés a szavazás után</t>
        </is>
      </c>
      <c r="C38" s="11" t="inlineStr">
        <is>
          <t>A szavazás lezajlott. Este egyedül ülsz az irodádban. Az asztalodon egy kézzel írt levél a bükkfalvi kislánytól, mellette egy riporter üzenete: holnap reggel interjút kér, és az egyik kérdését előre megírja — mit tanultál ebből a tíz hétből? Most kell eldöntened, mit mondasz, és mit kezdesz a tapasztalataiddal.</t>
        </is>
      </c>
      <c r="D38" s="9" t="inlineStr">
        <is>
          <t>A</t>
        </is>
      </c>
      <c r="E38" s="11" t="inlineStr">
        <is>
          <t>Azt mondod, hogy a költségvetés, a párt és a határidő nem hagyott más utat, és te kihoztad belőle a lehető legjobbat.</t>
        </is>
      </c>
      <c r="F38" s="11" t="inlineStr">
        <is>
          <t>Énmegerősítő attribúció</t>
        </is>
      </c>
      <c r="G38" s="11" t="inlineStr">
        <is>
          <t>Az énmegerősítő attribúció az a hajlamunk, hogy a sikereinket magunknak, a kudarcainkat pedig a körülményeknek tulajdonítjuk. Nem hazudsz: a körülmények valóban szorítottak. Ha viszont csak ezt látod, éppen azt hagyod ki, amiből tanulni lehetne: a saját döntéseidet.</t>
        </is>
      </c>
      <c r="H38" s="12" t="n">
        <v>2</v>
      </c>
      <c r="I38" s="12" t="n">
        <v>-1</v>
      </c>
      <c r="J38" s="12" t="n">
        <v>-1</v>
      </c>
      <c r="K38" s="12" t="n">
        <v>-3</v>
      </c>
      <c r="L38" s="12" t="n">
        <v>0</v>
      </c>
      <c r="M38" s="13">
        <f>ROUND(3*(0.22*H38+0.22*I38+0.2*J38+0.18*K38+0.18*L38),1)</f>
        <v/>
      </c>
      <c r="N38" s="14">
        <f>IF(COUNT(H38:L38)&lt;5,"hiányzó pont",IF(OR(MIN(H38:L38)&lt;-3,MAX(H38:L38)&gt;3),"−3…+3 közé",IF(COUNTIF(H38:L38,"&gt;0")=0,"kell pozitív is",IF(COUNTIF(H38:L38,"&lt;0")=0,"kell negatív is","rendben"))))</f>
        <v/>
      </c>
    </row>
    <row r="39" ht="90" customHeight="1">
      <c r="A39" s="15" t="n"/>
      <c r="B39" s="16" t="n"/>
      <c r="C39" s="17" t="n"/>
      <c r="D39" s="15" t="inlineStr">
        <is>
          <t>B</t>
        </is>
      </c>
      <c r="E39" s="17" t="inlineStr">
        <is>
          <t>Nem adsz interjút. Úgy gondolod, a számok és az idő majd igazolnak, és fölösleges most magyarázkodni.</t>
        </is>
      </c>
      <c r="F39" s="17" t="inlineStr">
        <is>
          <t>Hamisan pozitív hiba</t>
        </is>
      </c>
      <c r="G39" s="17" t="inlineStr">
        <is>
          <t>James March hamisan pozitív hibának nevezi, amikor a döntéshozó szentül hisz egy olyan kontrollban, amely a valóságban nincs a kezében. Az a meggyőződés, hogy az idő majd magától igazol, ilyen hit: a számok értelmezése nem rajtad fog múlni. A hallgatás megkímél egy nehéz beszélgetéstől, de nyitva hagyja a kérdést, és mások fognak válaszolni helyetted.</t>
        </is>
      </c>
      <c r="H39" s="18" t="n">
        <v>1</v>
      </c>
      <c r="I39" s="18" t="n">
        <v>-3</v>
      </c>
      <c r="J39" s="18" t="n">
        <v>-1</v>
      </c>
      <c r="K39" s="18" t="n">
        <v>-2</v>
      </c>
      <c r="L39" s="18" t="n">
        <v>-1</v>
      </c>
      <c r="M39" s="19">
        <f>ROUND(3*(0.22*H39+0.22*I39+0.2*J39+0.18*K39+0.18*L39),1)</f>
        <v/>
      </c>
      <c r="N39" s="20">
        <f>IF(COUNT(H39:L39)&lt;5,"hiányzó pont",IF(OR(MIN(H39:L39)&lt;-3,MAX(H39:L39)&gt;3),"−3…+3 közé",IF(COUNTIF(H39:L39,"&gt;0")=0,"kell pozitív is",IF(COUNTIF(H39:L39,"&lt;0")=0,"kell negatív is","rendben"))))</f>
        <v/>
      </c>
    </row>
    <row r="40" ht="76" customHeight="1">
      <c r="A40" s="15" t="n"/>
      <c r="B40" s="16" t="n"/>
      <c r="C40" s="17" t="n"/>
      <c r="D40" s="15" t="inlineStr">
        <is>
          <t>C</t>
        </is>
      </c>
      <c r="E40" s="17" t="inlineStr">
        <is>
          <t>Az interjú előtt összehívod a bizottságot, és mindenki elmondja, mit csinálna másképp. Ebből közös jelentés készül, amelyet a riporter is megkap.</t>
        </is>
      </c>
      <c r="F40" s="17" t="inlineStr">
        <is>
          <t>Csoportos döntéshozatal</t>
        </is>
      </c>
      <c r="G40" s="17" t="inlineStr">
        <is>
          <t>A jegyzet szerint csoportos döntésnél megoszlik a felelősség, a valóban bevont résztvevők pedig jobban elköteleződnek. Egy közös visszatekintés több nézőpontot hoz, mint ha egyedül mérlegelnél. Az ára, hogy a saját felelősséged feloldódik a közösben, és a jelentés óvatosabb lesz egy személyes vallomásnál.</t>
        </is>
      </c>
      <c r="H40" s="18" t="n">
        <v>1</v>
      </c>
      <c r="I40" s="18" t="n">
        <v>2</v>
      </c>
      <c r="J40" s="18" t="n">
        <v>1</v>
      </c>
      <c r="K40" s="18" t="n">
        <v>-1</v>
      </c>
      <c r="L40" s="18" t="n">
        <v>3</v>
      </c>
      <c r="M40" s="19">
        <f>ROUND(3*(0.22*H40+0.22*I40+0.2*J40+0.18*K40+0.18*L40),1)</f>
        <v/>
      </c>
      <c r="N40" s="20">
        <f>IF(COUNT(H40:L40)&lt;5,"hiányzó pont",IF(OR(MIN(H40:L40)&lt;-3,MAX(H40:L40)&gt;3),"−3…+3 közé",IF(COUNTIF(H40:L40,"&gt;0")=0,"kell pozitív is",IF(COUNTIF(H40:L40,"&lt;0")=0,"kell negatív is","rendben"))))</f>
        <v/>
      </c>
    </row>
    <row r="41" ht="90" customHeight="1">
      <c r="A41" s="15" t="n"/>
      <c r="B41" s="16" t="n"/>
      <c r="C41" s="17" t="n"/>
      <c r="D41" s="15" t="inlineStr">
        <is>
          <t>D</t>
        </is>
      </c>
      <c r="E41" s="17" t="inlineStr">
        <is>
          <t>Leírod magadnak, hol döntöttél rosszul és miért, mit hittél igaznak, ami nem volt az — és holnap ezt nyilvánosan is elmondod, még ha a pártod nem is örül neki.</t>
        </is>
      </c>
      <c r="F41" s="17" t="inlineStr">
        <is>
          <t>Reflektív gondolkodás és a következtetési létra</t>
        </is>
      </c>
      <c r="G41" s="17" t="inlineStr">
        <is>
          <t>A következtetési létra azt írja le, hogyan jutunk el villámgyorsan a látott tényektől a feltevésekig és az ítéletekig; a reflektív gondolkodás azt jelenti, hogy tudatosan visszamászunk ezen a létrán. Ha végiggondolod, melyik feltevésed vezetett félre, legközelebb jobban fogsz dönteni. A nyilvános beismerés hiteles, de politikailag sebezhetővé tesz.</t>
        </is>
      </c>
      <c r="H41" s="18" t="n">
        <v>-1</v>
      </c>
      <c r="I41" s="18" t="n">
        <v>3</v>
      </c>
      <c r="J41" s="18" t="n">
        <v>2</v>
      </c>
      <c r="K41" s="18" t="n">
        <v>3</v>
      </c>
      <c r="L41" s="18" t="n">
        <v>0</v>
      </c>
      <c r="M41" s="19">
        <f>ROUND(3*(0.22*H41+0.22*I41+0.2*J41+0.18*K41+0.18*L41),1)</f>
        <v/>
      </c>
      <c r="N41" s="20">
        <f>IF(COUNT(H41:L41)&lt;5,"hiányzó pont",IF(OR(MIN(H41:L41)&lt;-3,MAX(H41:L41)&gt;3),"−3…+3 közé",IF(COUNTIF(H41:L41,"&gt;0")=0,"kell pozitív is",IF(COUNTIF(H41:L41,"&lt;0")=0,"kell negatív is","rendben"))))</f>
        <v/>
      </c>
    </row>
  </sheetData>
  <autoFilter ref="A1:N41"/>
  <mergeCells count="30">
    <mergeCell ref="C14:C17"/>
    <mergeCell ref="B22:B25"/>
    <mergeCell ref="B18:B21"/>
    <mergeCell ref="C26:C29"/>
    <mergeCell ref="A30:A33"/>
    <mergeCell ref="C30:C33"/>
    <mergeCell ref="B2:B5"/>
    <mergeCell ref="C10:C13"/>
    <mergeCell ref="B14:B17"/>
    <mergeCell ref="C22:C25"/>
    <mergeCell ref="A6:A9"/>
    <mergeCell ref="B38:B41"/>
    <mergeCell ref="B10:B13"/>
    <mergeCell ref="A18:A21"/>
    <mergeCell ref="A26:A29"/>
    <mergeCell ref="A2:A5"/>
    <mergeCell ref="B34:B37"/>
    <mergeCell ref="C2:C5"/>
    <mergeCell ref="B6:B9"/>
    <mergeCell ref="B30:B33"/>
    <mergeCell ref="A14:A17"/>
    <mergeCell ref="C38:C41"/>
    <mergeCell ref="A10:A13"/>
    <mergeCell ref="A22:A25"/>
    <mergeCell ref="A38:A41"/>
    <mergeCell ref="B26:B29"/>
    <mergeCell ref="A34:A37"/>
    <mergeCell ref="C34:C37"/>
    <mergeCell ref="C6:C9"/>
    <mergeCell ref="C18:C21"/>
  </mergeCells>
  <conditionalFormatting sqref="H2:L41">
    <cfRule type="cellIs" priority="1" operator="greaterThan" dxfId="0">
      <formula>0</formula>
    </cfRule>
    <cfRule type="cellIs" priority="2" operator="lessThan" dxfId="1">
      <formula>0</formula>
    </cfRule>
  </conditionalFormatting>
  <conditionalFormatting sqref="N2:N41">
    <cfRule type="expression" priority="3" dxfId="1">
      <formula>N2&lt;&gt;"rendben"</formula>
    </cfRule>
  </conditionalFormatting>
  <dataValidations count="1">
    <dataValidation sqref="H2:L2 H3:L3 H4:L4 H5:L5 H6:L6 H7:L7 H8:L8 H9:L9 H10:L10 H11:L11 H12:L12 H13:L13 H14:L14 H15:L15 H16:L16 H17:L17 H18:L18 H19:L19 H20:L20 H21:L21 H22:L22 H23:L23 H24:L24 H25:L25 H26:L26 H27:L27 H28:L28 H29:L29 H30:L30 H31:L31 H32:L32 H33:L33 H34:L34 H35:L35 H36:L36 H37:L37 H38:L38 H39:L39 H40:L40 H41:L41" showDropDown="0" showInputMessage="0" showErrorMessage="1" allowBlank="0" errorTitle="Érvénytelen pont" error="Egész számot adj meg −3 és +3 között." type="whole" operator="between">
      <formula1>-3</formula1>
      <formula2>3</formula2>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N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46" customWidth="1" min="3" max="3"/>
    <col width="5" customWidth="1" min="4" max="4"/>
    <col width="44" customWidth="1" min="5" max="5"/>
    <col width="22" customWidth="1" min="6" max="6"/>
    <col width="58" customWidth="1" min="7" max="7"/>
    <col width="11" customWidth="1" min="8" max="8"/>
    <col width="11" customWidth="1" min="9" max="9"/>
    <col width="11" customWidth="1" min="10" max="10"/>
    <col width="11" customWidth="1" min="11" max="11"/>
    <col width="11" customWidth="1" min="12" max="12"/>
    <col width="13" customWidth="1" min="13" max="13"/>
    <col width="18" customWidth="1" min="14" max="14"/>
  </cols>
  <sheetData>
    <row r="1" ht="44" customHeight="1">
      <c r="A1" s="6" t="inlineStr">
        <is>
          <t>Sz.</t>
        </is>
      </c>
      <c r="B1" s="6" t="inlineStr">
        <is>
          <t>Jelenet címe</t>
        </is>
      </c>
      <c r="C1" s="6" t="inlineStr">
        <is>
          <t>Helyzet (a játékos ezt olvassa)</t>
        </is>
      </c>
      <c r="D1" s="6" t="inlineStr">
        <is>
          <t>Jel</t>
        </is>
      </c>
      <c r="E1" s="6" t="inlineStr">
        <is>
          <t>Válasz (a játékos ezt olvassa)</t>
        </is>
      </c>
      <c r="F1" s="6" t="inlineStr">
        <is>
          <t>Fogalom (a jegyzetből)</t>
        </is>
      </c>
      <c r="G1" s="6" t="inlineStr">
        <is>
          <t>Kiértékelés (a válasz után jelenik meg)</t>
        </is>
      </c>
      <c r="H1" s="6" t="inlineStr">
        <is>
          <t>Következetesség</t>
        </is>
      </c>
      <c r="I1" s="6" t="inlineStr">
        <is>
          <t>Átláthatóság</t>
        </is>
      </c>
      <c r="J1" s="6" t="inlineStr">
        <is>
          <t>Döntési minőség</t>
        </is>
      </c>
      <c r="K1" s="6" t="inlineStr">
        <is>
          <t>Felelősségvállalás</t>
        </is>
      </c>
      <c r="L1" s="6" t="inlineStr">
        <is>
          <t>Érintettek bevonása</t>
        </is>
      </c>
      <c r="M1" s="6" t="inlineStr">
        <is>
          <t>Súlyozott hatás a Bizalomindexre</t>
        </is>
      </c>
      <c r="N1" s="6" t="inlineStr">
        <is>
          <t>Ellenőrzés</t>
        </is>
      </c>
    </row>
    <row r="2" ht="90" customHeight="1">
      <c r="A2" s="9" t="n">
        <v>1</v>
      </c>
      <c r="B2" s="10" t="inlineStr">
        <is>
          <t>Válságterv péntekre</t>
        </is>
      </c>
      <c r="C2" s="11" t="inlineStr">
        <is>
          <t>Hétfő reggel a vezérigazgató péntekre válságtervet kér tőled, mert a legnagyobb ügyfeletek, egy patikalánc, fel akarja mondani a szerződést. Réka, a patikaláncért felelős csapat vezetője rögtön elő is áll egy mentőötlettel: vegyetek fel tíz ideiglenes munkatársat. A vezetés türelmetlen, a csapat a teherbírása határán van, tíz új ember betanítása pedig komoly kockázat.</t>
        </is>
      </c>
      <c r="D2" s="9" t="inlineStr">
        <is>
          <t>A</t>
        </is>
      </c>
      <c r="E2" s="11" t="inlineStr">
        <is>
          <t>Elfogadod Réka ötletét: tíz ideiglenes munkatárs, és péntekre kész a terv. Gyors, érthető megoldás, és a csapat is megkönnyebbül.</t>
        </is>
      </c>
      <c r="F2" s="11" t="inlineStr">
        <is>
          <t>Programozott és nem programozott döntés</t>
        </is>
      </c>
      <c r="G2" s="11" t="inlineStr">
        <is>
          <t>Simon programozott döntésnek nevezi azt, amelyre van kész rutin, nem programozottnak pedig azt, amelyre nincs előírt, követhető út. A „több ember kell” bevett válasz egy olyan helyzetre, amelyet még senki sem értett meg igazán. Gyorsan lépsz, és a csapat hálás érte, de ha a baj nem a létszámmal van, tíz új ember csak még több hibát fog okozni.</t>
        </is>
      </c>
      <c r="H2" s="12" t="n">
        <v>2</v>
      </c>
      <c r="I2" s="12" t="n">
        <v>1</v>
      </c>
      <c r="J2" s="12" t="n">
        <v>-2</v>
      </c>
      <c r="K2" s="12" t="n">
        <v>0</v>
      </c>
      <c r="L2" s="12" t="n">
        <v>-1</v>
      </c>
      <c r="M2" s="13">
        <f>ROUND(3*(0.22*H2+0.22*I2+0.2*J2+0.18*K2+0.18*L2),1)</f>
        <v/>
      </c>
      <c r="N2" s="14">
        <f>IF(COUNT(H2:L2)&lt;5,"hiányzó pont",IF(OR(MIN(H2:L2)&lt;-3,MAX(H2:L2)&gt;3),"−3…+3 közé",IF(COUNTIF(H2:L2,"&gt;0")=0,"kell pozitív is",IF(COUNTIF(H2:L2,"&lt;0")=0,"kell negatív is","rendben"))))</f>
        <v/>
      </c>
    </row>
    <row r="3" ht="90" customHeight="1">
      <c r="A3" s="15" t="n"/>
      <c r="B3" s="16" t="n"/>
      <c r="C3" s="17" t="n"/>
      <c r="D3" s="15" t="inlineStr">
        <is>
          <t>B</t>
        </is>
      </c>
      <c r="E3" s="17" t="inlineStr">
        <is>
          <t>Pénteken egy átfogó átalakítási tervet teszel le az asztalra: új rendszer, új folyamatok, új csapatbeosztás, mindez egyszerre. A vezérigazgatót lenyűgözi, a csapat viszont nem tudja, hogyan fogja bírni.</t>
        </is>
      </c>
      <c r="F3" s="17" t="inlineStr">
        <is>
          <t>Snowden–Boone: egyszerű és komplex helyzet</t>
        </is>
      </c>
      <c r="G3" s="17" t="inlineStr">
        <is>
          <t>Snowden és Boone szerint egyszerű helyzetben ismert a helyes válasz, komplex helyzetben viszont az okok és a hatások csak menet közben derülnek ki, ezért óvatosan, kis lépésekben kell haladni. A nagy terv úgy kezeli a helyzetet, mintha már tudnád a választ. Felülről nézve erősnek tűnsz, de egy kimerült csapatra raksz még egy terhet.</t>
        </is>
      </c>
      <c r="H3" s="18" t="n">
        <v>1</v>
      </c>
      <c r="I3" s="18" t="n">
        <v>2</v>
      </c>
      <c r="J3" s="18" t="n">
        <v>-2</v>
      </c>
      <c r="K3" s="18" t="n">
        <v>1</v>
      </c>
      <c r="L3" s="18" t="n">
        <v>-3</v>
      </c>
      <c r="M3" s="19">
        <f>ROUND(3*(0.22*H3+0.22*I3+0.2*J3+0.18*K3+0.18*L3),1)</f>
        <v/>
      </c>
      <c r="N3" s="20">
        <f>IF(COUNT(H3:L3)&lt;5,"hiányzó pont",IF(OR(MIN(H3:L3)&lt;-3,MAX(H3:L3)&gt;3),"−3…+3 közé",IF(COUNTIF(H3:L3,"&gt;0")=0,"kell pozitív is",IF(COUNTIF(H3:L3,"&lt;0")=0,"kell negatív is","rendben"))))</f>
        <v/>
      </c>
    </row>
    <row r="4" ht="76" customHeight="1">
      <c r="A4" s="15" t="n"/>
      <c r="B4" s="16" t="n"/>
      <c r="C4" s="17" t="n"/>
      <c r="D4" s="15" t="inlineStr">
        <is>
          <t>C</t>
        </is>
      </c>
      <c r="E4" s="17" t="inlineStr">
        <is>
          <t>Még aznap felhívod a patikalánc beszerzési vezetőjét, és megkérdezed, mi zavarja őket a leginkább. Tudod, hogy a vezérigazgató nem szereti, ha a tudta nélkül tárgyalsz az ügyféllel.</t>
        </is>
      </c>
      <c r="F4" s="17" t="inlineStr">
        <is>
          <t>Mintzberg kapcsolattartó szerepe</t>
        </is>
      </c>
      <c r="G4" s="17" t="inlineStr">
        <is>
          <t>Mintzberg kapcsolattartó szerepében a vezető a szervezeten kívüliekkel tartja a kapcsolatot, és így olyan információhoz jut, amely belülről nem látszik. Az ügyfél szavaiból pontosabb képet kapsz, mint bármilyen belső jelentésből. A hívás viszont a vezérigazgató feje fölött történt, és ő is így fogja látni.</t>
        </is>
      </c>
      <c r="H4" s="18" t="n">
        <v>-1</v>
      </c>
      <c r="I4" s="18" t="n">
        <v>-1</v>
      </c>
      <c r="J4" s="18" t="n">
        <v>2</v>
      </c>
      <c r="K4" s="18" t="n">
        <v>2</v>
      </c>
      <c r="L4" s="18" t="n">
        <v>2</v>
      </c>
      <c r="M4" s="19">
        <f>ROUND(3*(0.22*H4+0.22*I4+0.2*J4+0.18*K4+0.18*L4),1)</f>
        <v/>
      </c>
      <c r="N4" s="20">
        <f>IF(COUNT(H4:L4)&lt;5,"hiányzó pont",IF(OR(MIN(H4:L4)&lt;-3,MAX(H4:L4)&gt;3),"−3…+3 közé",IF(COUNTIF(H4:L4,"&gt;0")=0,"kell pozitív is",IF(COUNTIF(H4:L4,"&lt;0")=0,"kell negatív is","rendben"))))</f>
        <v/>
      </c>
    </row>
    <row r="5" ht="76" customHeight="1">
      <c r="A5" s="15" t="n"/>
      <c r="B5" s="16" t="n"/>
      <c r="C5" s="17" t="n"/>
      <c r="D5" s="15" t="inlineStr">
        <is>
          <t>D</t>
        </is>
      </c>
      <c r="E5" s="17" t="inlineStr">
        <is>
          <t>Csütörtökig nem írsz tervet: előbb leülsz Rékával és a két legtapasztaltabb ügyintézővel, és leírjátok, pontosan mi a baj, mit akar a patikalánc, és mit nem akartok feláldozni. Így a vezérigazgató csak az utolsó pillanatban kap anyagot.</t>
        </is>
      </c>
      <c r="F5" s="17" t="inlineStr">
        <is>
          <t>PrOACT-modell</t>
        </is>
      </c>
      <c r="G5" s="17" t="inlineStr">
        <is>
          <t>Ez a PrOACT-modell eleje: pontosan meghatározni a problémát és összegyűjteni a célokat, mielőtt bármilyen megoldásról döntenénk. Réka ötlete már kész válasz volt, te viszont előbb azt tisztáztad, mi a kérdés. Ennek ára a szoros határidő és egy vezérigazgató, aki addig semmit sem lát.</t>
        </is>
      </c>
      <c r="H5" s="18" t="n">
        <v>-1</v>
      </c>
      <c r="I5" s="18" t="n">
        <v>1</v>
      </c>
      <c r="J5" s="18" t="n">
        <v>3</v>
      </c>
      <c r="K5" s="18" t="n">
        <v>1</v>
      </c>
      <c r="L5" s="18" t="n">
        <v>2</v>
      </c>
      <c r="M5" s="19">
        <f>ROUND(3*(0.22*H5+0.22*I5+0.2*J5+0.18*K5+0.18*L5),1)</f>
        <v/>
      </c>
      <c r="N5" s="20">
        <f>IF(COUNT(H5:L5)&lt;5,"hiányzó pont",IF(OR(MIN(H5:L5)&lt;-3,MAX(H5:L5)&gt;3),"−3…+3 közé",IF(COUNTIF(H5:L5,"&gt;0")=0,"kell pozitív is",IF(COUNTIF(H5:L5,"&lt;0")=0,"kell negatív is","rendben"))))</f>
        <v/>
      </c>
    </row>
    <row r="6" ht="90" customHeight="1">
      <c r="A6" s="9" t="n">
        <v>2</v>
      </c>
      <c r="B6" s="10" t="inlineStr">
        <is>
          <t>Egymást hibáztató osztályok</t>
        </is>
      </c>
      <c r="C6" s="11" t="inlineStr">
        <is>
          <t>Szerdára összehívod az érintett vezetőket. Gábor, az értékesítési igazgató szerint az a baj, hogy lassú az üzemeltetés. Anita, az üzemeltetés vezetője szerint az értékesítés teljesíthetetlen határidőket ígér. A raktár és az informatika képviselője hallgat. Egy órád van, és a végén mindenki azt várja, hogy te mondd meg, hol a hiba.</t>
        </is>
      </c>
      <c r="D6" s="9" t="inlineStr">
        <is>
          <t>A</t>
        </is>
      </c>
      <c r="E6" s="11" t="inlineStr">
        <is>
          <t>Felírjátok a táblára, kiket érint a patikalánc kiszolgálása — az értékesítést, az üzemeltetést, a raktárt, az informatikát, a patikusokat, sőt a betegeket is —, és mindegyiknél azt, mennyi múlik rajtuk, és mekkora a beleszólásuk. Az óra végére még nincs döntés.</t>
        </is>
      </c>
      <c r="F6" s="11" t="inlineStr">
        <is>
          <t>Érintett-térkép</t>
        </is>
      </c>
      <c r="G6" s="11" t="inlineStr">
        <is>
          <t>Az érintett-térkép megmutatja, kiket érint egy döntés, azokat is beleértve, akik nem ülnek a teremben, például a patikusokat és a betegeket. Ettől a vita a hibáztatás helyett arra terelődött, kinek mi a dolga. Az ára, hogy az óra végén még nincs döntés, és Gábor ezt időhúzásnak fogja látni.</t>
        </is>
      </c>
      <c r="H6" s="12" t="n">
        <v>0</v>
      </c>
      <c r="I6" s="12" t="n">
        <v>2</v>
      </c>
      <c r="J6" s="12" t="n">
        <v>2</v>
      </c>
      <c r="K6" s="12" t="n">
        <v>-1</v>
      </c>
      <c r="L6" s="12" t="n">
        <v>3</v>
      </c>
      <c r="M6" s="13">
        <f>ROUND(3*(0.22*H6+0.22*I6+0.2*J6+0.18*K6+0.18*L6),1)</f>
        <v/>
      </c>
      <c r="N6" s="14">
        <f>IF(COUNT(H6:L6)&lt;5,"hiányzó pont",IF(OR(MIN(H6:L6)&lt;-3,MAX(H6:L6)&gt;3),"−3…+3 közé",IF(COUNTIF(H6:L6,"&gt;0")=0,"kell pozitív is",IF(COUNTIF(H6:L6,"&lt;0")=0,"kell negatív is","rendben"))))</f>
        <v/>
      </c>
    </row>
    <row r="7" ht="90" customHeight="1">
      <c r="A7" s="15" t="n"/>
      <c r="B7" s="16" t="n"/>
      <c r="C7" s="17" t="n"/>
      <c r="D7" s="15" t="inlineStr">
        <is>
          <t>B</t>
        </is>
      </c>
      <c r="E7" s="17" t="inlineStr">
        <is>
          <t>Megkéred mindegyik területet, hogy péntekig írja le, szerinte mi a baj, és ezeket összesíted. Mindenki szóhoz jut, de tudod, hogy öt különböző választ fogsz kapni.</t>
        </is>
      </c>
      <c r="F7" s="17" t="inlineStr">
        <is>
          <t>Szelektív észlelés</t>
        </is>
      </c>
      <c r="G7" s="17" t="inlineStr">
        <is>
          <t>Szelektív észlelésről akkor beszélünk, amikor mindenki a saját szemszögéből látja a problémát: a jegyzet példájában a marketinges a reklámban, a pénzügyes a pénzügyekben keresi a bajt. Minden terület a saját válaszát fogja hozni, és már az is tanulságos, ha ezeket egymás mellé teszed. A kép viszont széttöredezett marad, és a döntés terhe továbbra is a te válladat nyomja.</t>
        </is>
      </c>
      <c r="H7" s="18" t="n">
        <v>1</v>
      </c>
      <c r="I7" s="18" t="n">
        <v>1</v>
      </c>
      <c r="J7" s="18" t="n">
        <v>-1</v>
      </c>
      <c r="K7" s="18" t="n">
        <v>-1</v>
      </c>
      <c r="L7" s="18" t="n">
        <v>2</v>
      </c>
      <c r="M7" s="19">
        <f>ROUND(3*(0.22*H7+0.22*I7+0.2*J7+0.18*K7+0.18*L7),1)</f>
        <v/>
      </c>
      <c r="N7" s="20">
        <f>IF(COUNT(H7:L7)&lt;5,"hiányzó pont",IF(OR(MIN(H7:L7)&lt;-3,MAX(H7:L7)&gt;3),"−3…+3 közé",IF(COUNTIF(H7:L7,"&gt;0")=0,"kell pozitív is",IF(COUNTIF(H7:L7,"&lt;0")=0,"kell negatív is","rendben"))))</f>
        <v/>
      </c>
    </row>
    <row r="8" ht="76" customHeight="1">
      <c r="A8" s="15" t="n"/>
      <c r="B8" s="16" t="n"/>
      <c r="C8" s="17" t="n"/>
      <c r="D8" s="15" t="inlineStr">
        <is>
          <t>C</t>
        </is>
      </c>
      <c r="E8" s="17" t="inlineStr">
        <is>
          <t>Nem hagyod tovább folyni a vitát: a múlt heti tájékoztatón azt hallottad, hogy a raktár késik, ezért kimondod, hogy ott van a gond, és oda küldesz erősítést. Legalább történik valami.</t>
        </is>
      </c>
      <c r="F8" s="17" t="inlineStr">
        <is>
          <t>Elsőségi hatás</t>
        </is>
      </c>
      <c r="G8" s="17" t="inlineStr">
        <is>
          <t>Az elsőségi hatás azt jelenti, hogy a legelső információ köré rendezzük a később kapottakat: az első benyomás határozza meg az egész képet. A raktárról hallott első hír lett a kiindulópontod, és az egész vitát ehhez igazítottad. Gyors és határozott lépés, de ha az első hír félrevezető volt, most rossz helyre küldesz embert.</t>
        </is>
      </c>
      <c r="H8" s="18" t="n">
        <v>2</v>
      </c>
      <c r="I8" s="18" t="n">
        <v>-1</v>
      </c>
      <c r="J8" s="18" t="n">
        <v>-2</v>
      </c>
      <c r="K8" s="18" t="n">
        <v>2</v>
      </c>
      <c r="L8" s="18" t="n">
        <v>-2</v>
      </c>
      <c r="M8" s="19">
        <f>ROUND(3*(0.22*H8+0.22*I8+0.2*J8+0.18*K8+0.18*L8),1)</f>
        <v/>
      </c>
      <c r="N8" s="20">
        <f>IF(COUNT(H8:L8)&lt;5,"hiányzó pont",IF(OR(MIN(H8:L8)&lt;-3,MAX(H8:L8)&gt;3),"−3…+3 közé",IF(COUNTIF(H8:L8,"&gt;0")=0,"kell pozitív is",IF(COUNTIF(H8:L8,"&lt;0")=0,"kell negatív is","rendben"))))</f>
        <v/>
      </c>
    </row>
    <row r="9" ht="76" customHeight="1">
      <c r="A9" s="15" t="n"/>
      <c r="B9" s="16" t="n"/>
      <c r="C9" s="17" t="n"/>
      <c r="D9" s="15" t="inlineStr">
        <is>
          <t>D</t>
        </is>
      </c>
      <c r="E9" s="17" t="inlineStr">
        <is>
          <t>Gábornak adsz igazat: mindenki tudja, hogy az üzemeltetés lassú és merev, az értékesítés pedig hozza a pénzt. Anita elsápad, de a vita gyorsan lezárul.</t>
        </is>
      </c>
      <c r="F9" s="17" t="inlineStr">
        <is>
          <t>Sztereotipizálás</t>
        </is>
      </c>
      <c r="G9" s="17" t="inlineStr">
        <is>
          <t>Sztereotipizálásról akkor beszélünk, amikor valakit aszerint ítélünk meg, hogyan látjuk azt a csoportot, amelyhez tartozik. A „lassú üzemeltetés” képe kényelmes és gyors, és néha igaz is. Itt viszont úgy döntöttél, hogy meg sem nézted, tényleg ott van-e a baj — és ezt Anita csapata nem fogja elfelejteni.</t>
        </is>
      </c>
      <c r="H9" s="18" t="n">
        <v>1</v>
      </c>
      <c r="I9" s="18" t="n">
        <v>-1</v>
      </c>
      <c r="J9" s="18" t="n">
        <v>-2</v>
      </c>
      <c r="K9" s="18" t="n">
        <v>1</v>
      </c>
      <c r="L9" s="18" t="n">
        <v>-3</v>
      </c>
      <c r="M9" s="19">
        <f>ROUND(3*(0.22*H9+0.22*I9+0.2*J9+0.18*K9+0.18*L9),1)</f>
        <v/>
      </c>
      <c r="N9" s="20">
        <f>IF(COUNT(H9:L9)&lt;5,"hiányzó pont",IF(OR(MIN(H9:L9)&lt;-3,MAX(H9:L9)&gt;3),"−3…+3 közé",IF(COUNTIF(H9:L9,"&gt;0")=0,"kell pozitív is",IF(COUNTIF(H9:L9,"&lt;0")=0,"kell negatív is","rendben"))))</f>
        <v/>
      </c>
    </row>
    <row r="10" ht="90" customHeight="1">
      <c r="A10" s="9" t="n">
        <v>3</v>
      </c>
      <c r="B10" s="10" t="inlineStr">
        <is>
          <t>Nyomás Réka leváltására</t>
        </is>
      </c>
      <c r="C10" s="11" t="inlineStr">
        <is>
          <t>A vezérigazgató behív az irodájába. A tulajdonosok nyugtalanok, és szerinte Réka a gond: ő vezeti a patikalánccal foglalkozó csapatot, és nála csúsznak a dolgok. Azt kéri, hogy cseréld le. Te viszont tudod, hogy Réka csapatához tavasz óta harminc százalékkal több ügy érkezik, ugyanannyi emberrel.</t>
        </is>
      </c>
      <c r="D10" s="9" t="inlineStr">
        <is>
          <t>A</t>
        </is>
      </c>
      <c r="E10" s="11" t="inlineStr">
        <is>
          <t>Leváltod Rékát, és egy tapasztaltabb kollégát teszel a helyére. A tulajdonosok látják, hogy történik valami, és a vezérigazgató is megnyugszik.</t>
        </is>
      </c>
      <c r="F10" s="11" t="inlineStr">
        <is>
          <t>Alapvető attribúciós hiba</t>
        </is>
      </c>
      <c r="G10" s="11" t="inlineStr">
        <is>
          <t>Az alapvető attribúciós hiba az a hajlamunk, hogy mások kudarcát a személyükkel magyarázzuk, a helyzet hatását pedig alábecsüljük. Réka csapatának harminc százalékkal több munkája lett, a döntés mégis őt nevezte meg okként. A leváltás gyors jelzés a tulajdonosoknak, de ha a terhelés nem csökken, az új vezető ugyanígy el fog bukni.</t>
        </is>
      </c>
      <c r="H10" s="12" t="n">
        <v>1</v>
      </c>
      <c r="I10" s="12" t="n">
        <v>-1</v>
      </c>
      <c r="J10" s="12" t="n">
        <v>-2</v>
      </c>
      <c r="K10" s="12" t="n">
        <v>-1</v>
      </c>
      <c r="L10" s="12" t="n">
        <v>-2</v>
      </c>
      <c r="M10" s="13">
        <f>ROUND(3*(0.22*H10+0.22*I10+0.2*J10+0.18*K10+0.18*L10),1)</f>
        <v/>
      </c>
      <c r="N10" s="14">
        <f>IF(COUNT(H10:L10)&lt;5,"hiányzó pont",IF(OR(MIN(H10:L10)&lt;-3,MAX(H10:L10)&gt;3),"−3…+3 közé",IF(COUNTIF(H10:L10,"&gt;0")=0,"kell pozitív is",IF(COUNTIF(H10:L10,"&lt;0")=0,"kell negatív is","rendben"))))</f>
        <v/>
      </c>
    </row>
    <row r="11" ht="76" customHeight="1">
      <c r="A11" s="15" t="n"/>
      <c r="B11" s="16" t="n"/>
      <c r="C11" s="17" t="n"/>
      <c r="D11" s="15" t="inlineStr">
        <is>
          <t>B</t>
        </is>
      </c>
      <c r="E11" s="17" t="inlineStr">
        <is>
          <t>Kiállsz Réka mellett, és megmutatod a vezérigazgatónak a számokat: a csapata terhelése harminc százalékkal nőtt. Tudod, hogy ha a helyzet nem javul, innentől te is célkeresztbe kerülsz.</t>
        </is>
      </c>
      <c r="F11" s="17" t="inlineStr">
        <is>
          <t>Mintzberg vezető szerepe</t>
        </is>
      </c>
      <c r="G11" s="17" t="inlineStr">
        <is>
          <t>Mintzberg vezető szerepe a vezető és a beosztottai közötti viszonyról szól, és ez az egész vezetői munkát áthatja. Azzal, hogy nyomás alatt is kiálltál Réka mellett, a csapat azt látja, hogy számíthat rád. Ezzel viszont a saját hitelességedet is kockára tetted: ha a számok nem javulnak, a kérdés már rólad fog szólni.</t>
        </is>
      </c>
      <c r="H11" s="18" t="n">
        <v>2</v>
      </c>
      <c r="I11" s="18" t="n">
        <v>2</v>
      </c>
      <c r="J11" s="18" t="n">
        <v>1</v>
      </c>
      <c r="K11" s="18" t="n">
        <v>3</v>
      </c>
      <c r="L11" s="18" t="n">
        <v>-1</v>
      </c>
      <c r="M11" s="19">
        <f>ROUND(3*(0.22*H11+0.22*I11+0.2*J11+0.18*K11+0.18*L11),1)</f>
        <v/>
      </c>
      <c r="N11" s="20">
        <f>IF(COUNT(H11:L11)&lt;5,"hiányzó pont",IF(OR(MIN(H11:L11)&lt;-3,MAX(H11:L11)&gt;3),"−3…+3 közé",IF(COUNTIF(H11:L11,"&gt;0")=0,"kell pozitív is",IF(COUNTIF(H11:L11,"&lt;0")=0,"kell negatív is","rendben"))))</f>
        <v/>
      </c>
    </row>
    <row r="12" ht="90" customHeight="1">
      <c r="A12" s="15" t="n"/>
      <c r="B12" s="16" t="n"/>
      <c r="C12" s="17" t="n"/>
      <c r="D12" s="15" t="inlineStr">
        <is>
          <t>C</t>
        </is>
      </c>
      <c r="E12" s="17" t="inlineStr">
        <is>
          <t>Rékát a helyén hagyod, de mellé teszel egy „segítőt”, aki valójában az ő munkáját figyeli. Így a vezérigazgató is elégedett, és Rékát sem kell leváltani.</t>
        </is>
      </c>
      <c r="F12" s="17" t="inlineStr">
        <is>
          <t>Önbeteljesítő jóslat</t>
        </is>
      </c>
      <c r="G12" s="17" t="inlineStr">
        <is>
          <t>Az önbeteljesítő jóslat — más néven Pygmalion-hatás — azt jelenti, hogy amit valakitől elvárunk, az a saját viselkedésünk révén valóra is válik. Ha Réka érzi, hogy gyengének tartják, nagy eséllyel bizonytalanabbul és rosszabbul fog dolgozni. A kompromisszum egy időre mindenkit megnyugtat, de éppen azt a teljesítményt rontja, amelyen javítani akartál.</t>
        </is>
      </c>
      <c r="H12" s="18" t="n">
        <v>1</v>
      </c>
      <c r="I12" s="18" t="n">
        <v>-2</v>
      </c>
      <c r="J12" s="18" t="n">
        <v>-1</v>
      </c>
      <c r="K12" s="18" t="n">
        <v>0</v>
      </c>
      <c r="L12" s="18" t="n">
        <v>1</v>
      </c>
      <c r="M12" s="19">
        <f>ROUND(3*(0.22*H12+0.22*I12+0.2*J12+0.18*K12+0.18*L12),1)</f>
        <v/>
      </c>
      <c r="N12" s="20">
        <f>IF(COUNT(H12:L12)&lt;5,"hiányzó pont",IF(OR(MIN(H12:L12)&lt;-3,MAX(H12:L12)&gt;3),"−3…+3 közé",IF(COUNTIF(H12:L12,"&gt;0")=0,"kell pozitív is",IF(COUNTIF(H12:L12,"&lt;0")=0,"kell negatív is","rendben"))))</f>
        <v/>
      </c>
    </row>
    <row r="13" ht="90" customHeight="1">
      <c r="A13" s="15" t="n"/>
      <c r="B13" s="16" t="n"/>
      <c r="C13" s="17" t="n"/>
      <c r="D13" s="15" t="inlineStr">
        <is>
          <t>D</t>
        </is>
      </c>
      <c r="E13" s="17" t="inlineStr">
        <is>
          <t>Azt mondod a vezérigazgatónak, hogy két hét múlva adatokkal jössz vissza, addig pedig semmihez sem nyúlsz. Nem szívesen hallja, de beleegyezik.</t>
        </is>
      </c>
      <c r="F13" s="17" t="inlineStr">
        <is>
          <t>Simon: a megértés szakasza</t>
        </is>
      </c>
      <c r="G13" s="17" t="inlineStr">
        <is>
          <t>Herbert Simon szerint a döntés három szakaszból áll: megértés, tervezés, választás. A megértés azt jelenti, hogy összegyűjtjük és rendszerezzük a helyzetről szóló tudást, még mielőtt kidolgoznánk a lehetőségeket. Két hetet nyertél arra, hogy tények alapján dönts Rékáról, de a vezérigazgató türelme véges, és a csapat addig bizonytalanságban dolgozik.</t>
        </is>
      </c>
      <c r="H13" s="18" t="n">
        <v>0</v>
      </c>
      <c r="I13" s="18" t="n">
        <v>1</v>
      </c>
      <c r="J13" s="18" t="n">
        <v>2</v>
      </c>
      <c r="K13" s="18" t="n">
        <v>1</v>
      </c>
      <c r="L13" s="18" t="n">
        <v>-1</v>
      </c>
      <c r="M13" s="19">
        <f>ROUND(3*(0.22*H13+0.22*I13+0.2*J13+0.18*K13+0.18*L13),1)</f>
        <v/>
      </c>
      <c r="N13" s="20">
        <f>IF(COUNT(H13:L13)&lt;5,"hiányzó pont",IF(OR(MIN(H13:L13)&lt;-3,MAX(H13:L13)&gt;3),"−3…+3 közé",IF(COUNTIF(H13:L13,"&gt;0")=0,"kell pozitív is",IF(COUNTIF(H13:L13,"&lt;0")=0,"kell negatív is","rendben"))))</f>
        <v/>
      </c>
    </row>
    <row r="14" ht="76" customHeight="1">
      <c r="A14" s="9" t="n">
        <v>4</v>
      </c>
      <c r="B14" s="10" t="inlineStr">
        <is>
          <t>Teljesíthetetlen szállítási ígéretek</t>
        </is>
      </c>
      <c r="C14" s="11" t="inlineStr">
        <is>
          <t>Kiderül, hogy a hibák jó része abból fakad, hogy az értékesítés aznapi szállítást ígér a patikáknak, amit az üzemeltetés nem tud teljesíteni. Csakhogy az értékesítők prémiuma éppen ezektől a megrendelésektől függ. Anita szabályozást akar, Gábor pedig azzal fenyeget, hogy a vezérigazgatóhoz fordul.</t>
        </is>
      </c>
      <c r="D14" s="9" t="inlineStr">
        <is>
          <t>A</t>
        </is>
      </c>
      <c r="E14" s="11" t="inlineStr">
        <is>
          <t>Úgy döntesz, hogy ez a két osztályvezető ügye: egyezzenek meg egymással, te nem szólsz bele. Így senki sem mondhatja, hogy elfogult vagy.</t>
        </is>
      </c>
      <c r="F14" s="11" t="inlineStr">
        <is>
          <t>A döntés elhárítása</t>
        </is>
      </c>
      <c r="G14" s="11" t="inlineStr">
        <is>
          <t>A jegyzet a döntéshozói magatartások között írja le a döntés elhárítását: a vezető másokra hagyja a döntést, és a formális megoldást választja. Kívülről semlegesnek tűnsz, de a két osztályvezető vitájából éppen az hiányzik, aki dönteni tudna. A konfliktus valószínűleg a vezérigazgató asztalán köt ki — nélküled.</t>
        </is>
      </c>
      <c r="H14" s="12" t="n">
        <v>-1</v>
      </c>
      <c r="I14" s="12" t="n">
        <v>0</v>
      </c>
      <c r="J14" s="12" t="n">
        <v>-1</v>
      </c>
      <c r="K14" s="12" t="n">
        <v>-3</v>
      </c>
      <c r="L14" s="12" t="n">
        <v>2</v>
      </c>
      <c r="M14" s="13">
        <f>ROUND(3*(0.22*H14+0.22*I14+0.2*J14+0.18*K14+0.18*L14),1)</f>
        <v/>
      </c>
      <c r="N14" s="14">
        <f>IF(COUNT(H14:L14)&lt;5,"hiányzó pont",IF(OR(MIN(H14:L14)&lt;-3,MAX(H14:L14)&gt;3),"−3…+3 közé",IF(COUNTIF(H14:L14,"&gt;0")=0,"kell pozitív is",IF(COUNTIF(H14:L14,"&lt;0")=0,"kell negatív is","rendben"))))</f>
        <v/>
      </c>
    </row>
    <row r="15" ht="76" customHeight="1">
      <c r="A15" s="15" t="n"/>
      <c r="B15" s="16" t="n"/>
      <c r="C15" s="17" t="n"/>
      <c r="D15" s="15" t="inlineStr">
        <is>
          <t>B</t>
        </is>
      </c>
      <c r="E15" s="17" t="inlineStr">
        <is>
          <t>Közös megbeszélést tartasz az értékesítőknek és az üzemeltetőknek, ahol ők maguk dolgozzák ki, mit lehet megígérni és mit nem. A szabály az övék lesz, de legalább két hétbe telik.</t>
        </is>
      </c>
      <c r="F15" s="17" t="inlineStr">
        <is>
          <t>Részvételi létra</t>
        </is>
      </c>
      <c r="G15" s="17" t="inlineStr">
        <is>
          <t>A részvételi létra azt mutatja meg, mennyire valódi a bevonás: puszta tájékoztatás, meghallgatás vagy tényleges döntési jog. Te a létra felső fokára léptél: a szabályt maguk az érintettek alakítják ki. Ezért jobban be is fogják tartani, de két hétig a régi gyakorlat megy tovább, a patikalánc pedig közben nem vár.</t>
        </is>
      </c>
      <c r="H15" s="18" t="n">
        <v>1</v>
      </c>
      <c r="I15" s="18" t="n">
        <v>2</v>
      </c>
      <c r="J15" s="18" t="n">
        <v>1</v>
      </c>
      <c r="K15" s="18" t="n">
        <v>-1</v>
      </c>
      <c r="L15" s="18" t="n">
        <v>3</v>
      </c>
      <c r="M15" s="19">
        <f>ROUND(3*(0.22*H15+0.22*I15+0.2*J15+0.18*K15+0.18*L15),1)</f>
        <v/>
      </c>
      <c r="N15" s="20">
        <f>IF(COUNT(H15:L15)&lt;5,"hiányzó pont",IF(OR(MIN(H15:L15)&lt;-3,MAX(H15:L15)&gt;3),"−3…+3 közé",IF(COUNTIF(H15:L15,"&gt;0")=0,"kell pozitív is",IF(COUNTIF(H15:L15,"&lt;0")=0,"kell negatív is","rendben"))))</f>
        <v/>
      </c>
    </row>
    <row r="16" ht="90" customHeight="1">
      <c r="A16" s="15" t="n"/>
      <c r="B16" s="16" t="n"/>
      <c r="C16" s="17" t="n"/>
      <c r="D16" s="15" t="inlineStr">
        <is>
          <t>C</t>
        </is>
      </c>
      <c r="E16" s="17" t="inlineStr">
        <is>
          <t>Megmarad az aznapi szállítás ígérete, de az üzemeltetés kap három új embert, akiket az értékesítési prémiumkeretből fizettek. A szállítás így tartható lesz, Gábor viszont dühös, mert az ő csapata állja a számlát.</t>
        </is>
      </c>
      <c r="F16" s="17" t="inlineStr">
        <is>
          <t>Mintzberg erőforrás-elosztó szerepe</t>
        </is>
      </c>
      <c r="G16" s="17" t="inlineStr">
        <is>
          <t>Mintzberg erőforrás-elosztó szerepében a vezető dönti el, hová kerül a pénz és az ember, és ezzel alapvetően befolyásolja az egységek teljesítményét. Átcsoportosítással olyan megoldást találtál, amely az ügyfélnek jó. Csakhogy a terhet egy olyan csapatra raktad, amely nem kérte, és ez hosszú távon megmérgezheti a két osztály viszonyát.</t>
        </is>
      </c>
      <c r="H16" s="18" t="n">
        <v>-1</v>
      </c>
      <c r="I16" s="18" t="n">
        <v>1</v>
      </c>
      <c r="J16" s="18" t="n">
        <v>2</v>
      </c>
      <c r="K16" s="18" t="n">
        <v>2</v>
      </c>
      <c r="L16" s="18" t="n">
        <v>-2</v>
      </c>
      <c r="M16" s="19">
        <f>ROUND(3*(0.22*H16+0.22*I16+0.2*J16+0.18*K16+0.18*L16),1)</f>
        <v/>
      </c>
      <c r="N16" s="20">
        <f>IF(COUNT(H16:L16)&lt;5,"hiányzó pont",IF(OR(MIN(H16:L16)&lt;-3,MAX(H16:L16)&gt;3),"−3…+3 közé",IF(COUNTIF(H16:L16,"&gt;0")=0,"kell pozitív is",IF(COUNTIF(H16:L16,"&lt;0")=0,"kell negatív is","rendben"))))</f>
        <v/>
      </c>
    </row>
    <row r="17" ht="76" customHeight="1">
      <c r="A17" s="15" t="n"/>
      <c r="B17" s="16" t="n"/>
      <c r="C17" s="17" t="n"/>
      <c r="D17" s="15" t="inlineStr">
        <is>
          <t>D</t>
        </is>
      </c>
      <c r="E17" s="17" t="inlineStr">
        <is>
          <t>Te húzod meg a határt: holnaptól nincs aznapi szállítás ígérete, kivétel nélkül. A hibák azonnal csökkennek, az értékesítők viszont a prémiumukat féltik.</t>
        </is>
      </c>
      <c r="F17" s="17" t="inlineStr">
        <is>
          <t>Mintzberg zavarelhárító szerepe</t>
        </is>
      </c>
      <c r="G17" s="17" t="inlineStr">
        <is>
          <t>Mintzberg zavarelhárító szerepében a vezető gyorsan lép, amikor valami akadozik a működésben. A határozott szabály azonnal megszünteti a hibák egyik forrását. Mivel azonban az érintettek nélkül született, az értékesítők a maguk módján meg fogják kerülni, és a prémiumuk kérdése sem oldódik meg.</t>
        </is>
      </c>
      <c r="H17" s="18" t="n">
        <v>2</v>
      </c>
      <c r="I17" s="18" t="n">
        <v>1</v>
      </c>
      <c r="J17" s="18" t="n">
        <v>1</v>
      </c>
      <c r="K17" s="18" t="n">
        <v>2</v>
      </c>
      <c r="L17" s="18" t="n">
        <v>-3</v>
      </c>
      <c r="M17" s="19">
        <f>ROUND(3*(0.22*H17+0.22*I17+0.2*J17+0.18*K17+0.18*L17),1)</f>
        <v/>
      </c>
      <c r="N17" s="20">
        <f>IF(COUNT(H17:L17)&lt;5,"hiányzó pont",IF(OR(MIN(H17:L17)&lt;-3,MAX(H17:L17)&gt;3),"−3…+3 közé",IF(COUNTIF(H17:L17,"&gt;0")=0,"kell pozitív is",IF(COUNTIF(H17:L17,"&lt;0")=0,"kell negatív is","rendben"))))</f>
        <v/>
      </c>
    </row>
    <row r="18" ht="76" customHeight="1">
      <c r="A18" s="9" t="n">
        <v>5</v>
      </c>
      <c r="B18" s="10" t="inlineStr">
        <is>
          <t>Az első havi jelentés</t>
        </is>
      </c>
      <c r="C18" s="11" t="inlineStr">
        <is>
          <t>Elkészül az első havi jelentés a patikalánc számára. Két mutató javult, egy viszont — a panaszok lezárásának ideje — romlott. Közben kapsz egy lelkes levelet egy szegedi patikustól, aki szerint még soha nem volt ilyen jó a kiszolgálás. A jelentésnek holnap reggel kell kimennie.</t>
        </is>
      </c>
      <c r="D18" s="9" t="inlineStr">
        <is>
          <t>A</t>
        </is>
      </c>
      <c r="E18" s="11" t="inlineStr">
        <is>
          <t>Még egy hétig visszatartod, hátha addigra a harmadik mutató is javul. Tudod, hogy a patikalánc a határidők betartását is figyeli.</t>
        </is>
      </c>
      <c r="F18" s="11" t="inlineStr">
        <is>
          <t>A döntés halogatása</t>
        </is>
      </c>
      <c r="G18" s="11" t="inlineStr">
        <is>
          <t>A jegyzet a döntés halogatásának nevezi, amikor menekülünk a probléma elől, és kivárjuk, hogy a helyzet magától megoldódjon. Egy hét múlva talán jobb számokat küldhetsz. Addig viszont éppen azt a megbízhatóságot sérted, amelyért a patikalánc küzd: hogy időben megkapja, amit ígértek neki.</t>
        </is>
      </c>
      <c r="H18" s="12" t="n">
        <v>-3</v>
      </c>
      <c r="I18" s="12" t="n">
        <v>-1</v>
      </c>
      <c r="J18" s="12" t="n">
        <v>1</v>
      </c>
      <c r="K18" s="12" t="n">
        <v>-1</v>
      </c>
      <c r="L18" s="12" t="n">
        <v>0</v>
      </c>
      <c r="M18" s="13">
        <f>ROUND(3*(0.22*H18+0.22*I18+0.2*J18+0.18*K18+0.18*L18),1)</f>
        <v/>
      </c>
      <c r="N18" s="14">
        <f>IF(COUNT(H18:L18)&lt;5,"hiányzó pont",IF(OR(MIN(H18:L18)&lt;-3,MAX(H18:L18)&gt;3),"−3…+3 közé",IF(COUNTIF(H18:L18,"&gt;0")=0,"kell pozitív is",IF(COUNTIF(H18:L18,"&lt;0")=0,"kell negatív is","rendben"))))</f>
        <v/>
      </c>
    </row>
    <row r="19" ht="76" customHeight="1">
      <c r="A19" s="15" t="n"/>
      <c r="B19" s="16" t="n"/>
      <c r="C19" s="17" t="n"/>
      <c r="D19" s="15" t="inlineStr">
        <is>
          <t>B</t>
        </is>
      </c>
      <c r="E19" s="17" t="inlineStr">
        <is>
          <t>A számokat a tavaszi mélyponthoz viszonyítod, amikor minden mutató a legrosszabb volt. Így mindhárom javulásnak látszik, és semmi sem hamis benne.</t>
        </is>
      </c>
      <c r="F19" s="17" t="inlineStr">
        <is>
          <t>Kontraszt-hatás</t>
        </is>
      </c>
      <c r="G19" s="17" t="inlineStr">
        <is>
          <t>A kontraszt-hatás azt jelenti, hogy semmit sem önmagában ítélünk meg, hanem mindig ahhoz mérjük, amivel előtte találkoztunk. Ha a tavaszi mélyponthoz viszonyítasz, minden javulásnak tűnik. Egyik szám sem hamis, a kép mégis félrevezető, és ezt egy tapasztalt beszerzési vezető előbb-utóbb észre fogja venni.</t>
        </is>
      </c>
      <c r="H19" s="18" t="n">
        <v>1</v>
      </c>
      <c r="I19" s="18" t="n">
        <v>-2</v>
      </c>
      <c r="J19" s="18" t="n">
        <v>-1</v>
      </c>
      <c r="K19" s="18" t="n">
        <v>-1</v>
      </c>
      <c r="L19" s="18" t="n">
        <v>0</v>
      </c>
      <c r="M19" s="19">
        <f>ROUND(3*(0.22*H19+0.22*I19+0.2*J19+0.18*K19+0.18*L19),1)</f>
        <v/>
      </c>
      <c r="N19" s="20">
        <f>IF(COUNT(H19:L19)&lt;5,"hiányzó pont",IF(OR(MIN(H19:L19)&lt;-3,MAX(H19:L19)&gt;3),"−3…+3 közé",IF(COUNTIF(H19:L19,"&gt;0")=0,"kell pozitív is",IF(COUNTIF(H19:L19,"&lt;0")=0,"kell negatív is","rendben"))))</f>
        <v/>
      </c>
    </row>
    <row r="20" ht="76" customHeight="1">
      <c r="A20" s="15" t="n"/>
      <c r="B20" s="16" t="n"/>
      <c r="C20" s="17" t="n"/>
      <c r="D20" s="15" t="inlineStr">
        <is>
          <t>C</t>
        </is>
      </c>
      <c r="E20" s="17" t="inlineStr">
        <is>
          <t>A jelentés elejére a romló mutatót teszed, és mellé azt, hogy mit tesztek ellene. Tudod, hogy ettől a patikalánc idegesebb lesz, éppen most, amikor kezdene megnyugodni.</t>
        </is>
      </c>
      <c r="F20" s="17" t="inlineStr">
        <is>
          <t>Mintzberg szóvivő szerepe</t>
        </is>
      </c>
      <c r="G20" s="17" t="inlineStr">
        <is>
          <t>Mintzberg szóvivő szerepében a vezető a kívülállókat — ügyfeleket, partnereket — tájékoztatja a teljesítményről és a tervekről. Ha a rossz hírt te mondod el elsőként, a megoldással együtt, a jó híreidnek is jobban hisznek majd. Most viszont egy olyan ügyfelet nyugtalanítasz, aki éppen kezdett megbékélni.</t>
        </is>
      </c>
      <c r="H20" s="18" t="n">
        <v>2</v>
      </c>
      <c r="I20" s="18" t="n">
        <v>3</v>
      </c>
      <c r="J20" s="18" t="n">
        <v>1</v>
      </c>
      <c r="K20" s="18" t="n">
        <v>2</v>
      </c>
      <c r="L20" s="18" t="n">
        <v>-1</v>
      </c>
      <c r="M20" s="19">
        <f>ROUND(3*(0.22*H20+0.22*I20+0.2*J20+0.18*K20+0.18*L20),1)</f>
        <v/>
      </c>
      <c r="N20" s="20">
        <f>IF(COUNT(H20:L20)&lt;5,"hiányzó pont",IF(OR(MIN(H20:L20)&lt;-3,MAX(H20:L20)&gt;3),"−3…+3 közé",IF(COUNTIF(H20:L20,"&gt;0")=0,"kell pozitív is",IF(COUNTIF(H20:L20,"&lt;0")=0,"kell negatív is","rendben"))))</f>
        <v/>
      </c>
    </row>
    <row r="21" ht="76" customHeight="1">
      <c r="A21" s="15" t="n"/>
      <c r="B21" s="16" t="n"/>
      <c r="C21" s="17" t="n"/>
      <c r="D21" s="15" t="inlineStr">
        <is>
          <t>D</t>
        </is>
      </c>
      <c r="E21" s="17" t="inlineStr">
        <is>
          <t>A jelentés elejére a szegedi patikus levelét teszed. Ez valódi visszajelzés, és jó hangulatot teremt a számokhoz.</t>
        </is>
      </c>
      <c r="F21" s="17" t="inlineStr">
        <is>
          <t>Halo-effektus</t>
        </is>
      </c>
      <c r="G21" s="17" t="inlineStr">
        <is>
          <t>A halo-effektus azt jelenti, hogy egyetlen kiemelkedő jellemző alapján alakul ki az általános benyomás. Egy lelkes levél az elején az egész jelentést jobb fénybe helyezi, még a romló mutatót is. A levél igaz, de nem reprezentatív, és ha az ügyfél később rájön, hogyan állt össze a jelentés, a következőnek már nem fog hinni.</t>
        </is>
      </c>
      <c r="H21" s="18" t="n">
        <v>1</v>
      </c>
      <c r="I21" s="18" t="n">
        <v>-3</v>
      </c>
      <c r="J21" s="18" t="n">
        <v>-1</v>
      </c>
      <c r="K21" s="18" t="n">
        <v>-1</v>
      </c>
      <c r="L21" s="18" t="n">
        <v>1</v>
      </c>
      <c r="M21" s="19">
        <f>ROUND(3*(0.22*H21+0.22*I21+0.2*J21+0.18*K21+0.18*L21),1)</f>
        <v/>
      </c>
      <c r="N21" s="20">
        <f>IF(COUNT(H21:L21)&lt;5,"hiányzó pont",IF(OR(MIN(H21:L21)&lt;-3,MAX(H21:L21)&gt;3),"−3…+3 közé",IF(COUNTIF(H21:L21,"&gt;0")=0,"kell pozitív is",IF(COUNTIF(H21:L21,"&lt;0")=0,"kell negatív is","rendben"))))</f>
        <v/>
      </c>
    </row>
    <row r="22" ht="76" customHeight="1">
      <c r="A22" s="9" t="n">
        <v>6</v>
      </c>
      <c r="B22" s="10" t="inlineStr">
        <is>
          <t>Csevegőprogram vagy túlóra</t>
        </is>
      </c>
      <c r="C22" s="11" t="inlineStr">
        <is>
          <t>Réka új ötlettel áll elő: egy automatikus csevegőprogrammal, amely a patikák kérdéseinek negyven százalékára magától válaszolna. Az informatika szerint a bevezetés hat hétig tart, a határidőig pedig hét hét van hátra. A biztosabb, de drágább megoldás a nyitvatartás meghosszabbítása túlórával. A kettőre együtt nincs elég pénz.</t>
        </is>
      </c>
      <c r="D22" s="9" t="inlineStr">
        <is>
          <t>A</t>
        </is>
      </c>
      <c r="E22" s="11" t="inlineStr">
        <is>
          <t>Mindkettőt teljes erővel elindítod: a csevegőprogramot is és a túlórát is. A pénzt majd valahogy előteremted, a határidő a fontosabb.</t>
        </is>
      </c>
      <c r="F22" s="11" t="inlineStr">
        <is>
          <t>Hamisan pozitív hiba</t>
        </is>
      </c>
      <c r="G22" s="11" t="inlineStr">
        <is>
          <t>James March hamisan pozitív hibának nevezi, amikor a döntéshozó olyan kontrollban hisz, amely a valóságban nincs a kezében. A „majd valahogy előteremtem” éppen ilyen hit. Rövid távon mindkét úton haladsz, de ha nem lesz meg a pénz, mindkettő félbemarad, és a csapat kétszer annyi munkával feleannyit ér el.</t>
        </is>
      </c>
      <c r="H22" s="12" t="n">
        <v>-2</v>
      </c>
      <c r="I22" s="12" t="n">
        <v>-1</v>
      </c>
      <c r="J22" s="12" t="n">
        <v>-2</v>
      </c>
      <c r="K22" s="12" t="n">
        <v>2</v>
      </c>
      <c r="L22" s="12" t="n">
        <v>1</v>
      </c>
      <c r="M22" s="13">
        <f>ROUND(3*(0.22*H22+0.22*I22+0.2*J22+0.18*K22+0.18*L22),1)</f>
        <v/>
      </c>
      <c r="N22" s="14">
        <f>IF(COUNT(H22:L22)&lt;5,"hiányzó pont",IF(OR(MIN(H22:L22)&lt;-3,MAX(H22:L22)&gt;3),"−3…+3 közé",IF(COUNTIF(H22:L22,"&gt;0")=0,"kell pozitív is",IF(COUNTIF(H22:L22,"&lt;0")=0,"kell negatív is","rendben"))))</f>
        <v/>
      </c>
    </row>
    <row r="23" ht="76" customHeight="1">
      <c r="A23" s="15" t="n"/>
      <c r="B23" s="16" t="n"/>
      <c r="C23" s="17" t="n"/>
      <c r="D23" s="15" t="inlineStr">
        <is>
          <t>B</t>
        </is>
      </c>
      <c r="E23" s="17" t="inlineStr">
        <is>
          <t>Rábólintasz Réka ötletére: ő ismeri a legjobban a patikák kérdéseit, és ő is fogja végigvinni a projektet. Te a háttérből támogatod.</t>
        </is>
      </c>
      <c r="F23" s="17" t="inlineStr">
        <is>
          <t>Szakértői döntéshozatal</t>
        </is>
      </c>
      <c r="G23" s="17" t="inlineStr">
        <is>
          <t>A jegyzet csoportos döntési modelljei között szerepel a szakértői döntés: a csoport azt a tagját hagyja dönteni, aki az adott kérdésben a legjáratosabb. Réka valóban ismeri a patikákat, és a bizalmad erőt ad neki. A modell hátránya, hogy nincs mellette kontroll, és ha a program csúszik, minden egyetlen ember döntésén múlik.</t>
        </is>
      </c>
      <c r="H23" s="18" t="n">
        <v>1</v>
      </c>
      <c r="I23" s="18" t="n">
        <v>0</v>
      </c>
      <c r="J23" s="18" t="n">
        <v>-1</v>
      </c>
      <c r="K23" s="18" t="n">
        <v>-1</v>
      </c>
      <c r="L23" s="18" t="n">
        <v>3</v>
      </c>
      <c r="M23" s="19">
        <f>ROUND(3*(0.22*H23+0.22*I23+0.2*J23+0.18*K23+0.18*L23),1)</f>
        <v/>
      </c>
      <c r="N23" s="20">
        <f>IF(COUNT(H23:L23)&lt;5,"hiányzó pont",IF(OR(MIN(H23:L23)&lt;-3,MAX(H23:L23)&gt;3),"−3…+3 közé",IF(COUNTIF(H23:L23,"&gt;0")=0,"kell pozitív is",IF(COUNTIF(H23:L23,"&lt;0")=0,"kell negatív is","rendben"))))</f>
        <v/>
      </c>
    </row>
    <row r="24" ht="76" customHeight="1">
      <c r="A24" s="15" t="n"/>
      <c r="B24" s="16" t="n"/>
      <c r="C24" s="17" t="n"/>
      <c r="D24" s="15" t="inlineStr">
        <is>
          <t>C</t>
        </is>
      </c>
      <c r="E24" s="17" t="inlineStr">
        <is>
          <t>Leírsz három lehetőséget — a csevegőprogramot, a hosszabb nyitvatartást és a kettő kisebb léptékű kombinációját —, és mindegyiknél végiggondolod, mi történik, ha csúszik. Ez két napot vesz igénybe, és Réka türelmetlen.</t>
        </is>
      </c>
      <c r="F24" s="17" t="inlineStr">
        <is>
          <t>Simon: a tervezés szakasza</t>
        </is>
      </c>
      <c r="G24" s="17" t="inlineStr">
        <is>
          <t>Herbert Simon szerint a döntés második szakasza a tervezés: összegyűjtjük a lehetséges cselekvési utakat, és felmérjük a várható következményeiket. Azzal, hogy minden lehetőségnél feltetted a „mi lesz, ha csúszik?” kérdést, láthatóvá tetted a kockázatot. Két napot veszítesz, és Réka úgy érezheti, hogy nem bízol benne.</t>
        </is>
      </c>
      <c r="H24" s="18" t="n">
        <v>0</v>
      </c>
      <c r="I24" s="18" t="n">
        <v>2</v>
      </c>
      <c r="J24" s="18" t="n">
        <v>3</v>
      </c>
      <c r="K24" s="18" t="n">
        <v>1</v>
      </c>
      <c r="L24" s="18" t="n">
        <v>-1</v>
      </c>
      <c r="M24" s="19">
        <f>ROUND(3*(0.22*H24+0.22*I24+0.2*J24+0.18*K24+0.18*L24),1)</f>
        <v/>
      </c>
      <c r="N24" s="20">
        <f>IF(COUNT(H24:L24)&lt;5,"hiányzó pont",IF(OR(MIN(H24:L24)&lt;-3,MAX(H24:L24)&gt;3),"−3…+3 közé",IF(COUNTIF(H24:L24,"&gt;0")=0,"kell pozitív is",IF(COUNTIF(H24:L24,"&lt;0")=0,"kell negatív is","rendben"))))</f>
        <v/>
      </c>
    </row>
    <row r="25" ht="90" customHeight="1">
      <c r="A25" s="15" t="n"/>
      <c r="B25" s="16" t="n"/>
      <c r="C25" s="17" t="n"/>
      <c r="D25" s="15" t="inlineStr">
        <is>
          <t>D</t>
        </is>
      </c>
      <c r="E25" s="17" t="inlineStr">
        <is>
          <t>A biztos utat választod: hosszabb nyitvatartás, túlórával. Tudod, hogy ez működni fog, csak a csapat még jobban elfárad.</t>
        </is>
      </c>
      <c r="F25" s="17" t="inlineStr">
        <is>
          <t>Korlátozott racionalitás, kielégítő döntés</t>
        </is>
      </c>
      <c r="G25" s="17" t="inlineStr">
        <is>
          <t>Simon szerint a valóságban nem az optimális, hanem az első elfogadható megoldást választjuk, mert az időnk és az információnk is korlátozott. A túlóra a határidőig biztosan elég lesz, és ez jogos szempont. Az árát viszont egy már most is kimerült csapat fizeti meg, és a határidő után semmi sem marad, ami tartósan javítana a helyzeten.</t>
        </is>
      </c>
      <c r="H25" s="18" t="n">
        <v>2</v>
      </c>
      <c r="I25" s="18" t="n">
        <v>1</v>
      </c>
      <c r="J25" s="18" t="n">
        <v>-1</v>
      </c>
      <c r="K25" s="18" t="n">
        <v>1</v>
      </c>
      <c r="L25" s="18" t="n">
        <v>-2</v>
      </c>
      <c r="M25" s="19">
        <f>ROUND(3*(0.22*H25+0.22*I25+0.2*J25+0.18*K25+0.18*L25),1)</f>
        <v/>
      </c>
      <c r="N25" s="20">
        <f>IF(COUNT(H25:L25)&lt;5,"hiányzó pont",IF(OR(MIN(H25:L25)&lt;-3,MAX(H25:L25)&gt;3),"−3…+3 közé",IF(COUNTIF(H25:L25,"&gt;0")=0,"kell pozitív is",IF(COUNTIF(H25:L25,"&lt;0")=0,"kell negatív is","rendben"))))</f>
        <v/>
      </c>
    </row>
    <row r="26" ht="90" customHeight="1">
      <c r="A26" s="9" t="n">
        <v>7</v>
      </c>
      <c r="B26" s="10" t="inlineStr">
        <is>
          <t>A hibázó csevegőprogram</t>
        </is>
      </c>
      <c r="C26" s="11" t="inlineStr">
        <is>
          <t>A hatodik héten elkészül a csevegőprogram. A tesztek szerint minden tizedik kérdésre rossz választ ad: például téves nyitvatartást mond egy patikáról. Ha most nem indul el, a határidőig már nem fog. A szerverteremben az informatikusok rád néznek.</t>
        </is>
      </c>
      <c r="D26" s="9" t="inlineStr">
        <is>
          <t>A</t>
        </is>
      </c>
      <c r="E26" s="11" t="inlineStr">
        <is>
          <t>Addig nem indítjátok el, amíg a hibaarány egy százalék alá nem csökken. Egy rossz nyitvatartási adat komoly gondot okozhat egy betegnek, még ha így le is késitek a határidőt.</t>
        </is>
      </c>
      <c r="F26" s="11" t="inlineStr">
        <is>
          <t>Jól és rosszul strukturált döntés</t>
        </is>
      </c>
      <c r="G26" s="11" t="inlineStr">
        <is>
          <t>Simon szerint a jól strukturált döntésnél világos, mi a probléma, a rosszul strukturáltnál viszont még ez sem egyértelmű. Az egyszázalékos küszöbbel jól strukturált, műszaki kérdéssé alakítottad az indítást. Csakhogy a valódi kérdés az, hogy az ügyfélnek mi a fontosabb: a határidő vagy a hibátlanság — és ezt nem kérdezted meg tőle.</t>
        </is>
      </c>
      <c r="H26" s="12" t="n">
        <v>-2</v>
      </c>
      <c r="I26" s="12" t="n">
        <v>1</v>
      </c>
      <c r="J26" s="12" t="n">
        <v>1</v>
      </c>
      <c r="K26" s="12" t="n">
        <v>2</v>
      </c>
      <c r="L26" s="12" t="n">
        <v>-1</v>
      </c>
      <c r="M26" s="13">
        <f>ROUND(3*(0.22*H26+0.22*I26+0.2*J26+0.18*K26+0.18*L26),1)</f>
        <v/>
      </c>
      <c r="N26" s="14">
        <f>IF(COUNT(H26:L26)&lt;5,"hiányzó pont",IF(OR(MIN(H26:L26)&lt;-3,MAX(H26:L26)&gt;3),"−3…+3 közé",IF(COUNTIF(H26:L26,"&gt;0")=0,"kell pozitív is",IF(COUNTIF(H26:L26,"&lt;0")=0,"kell negatív is","rendben"))))</f>
        <v/>
      </c>
    </row>
    <row r="27" ht="76" customHeight="1">
      <c r="A27" s="15" t="n"/>
      <c r="B27" s="16" t="n"/>
      <c r="C27" s="17" t="n"/>
      <c r="D27" s="15" t="inlineStr">
        <is>
          <t>B</t>
        </is>
      </c>
      <c r="E27" s="17" t="inlineStr">
        <is>
          <t>Próbaképpen csak tíz patikában indítjátok el. A patikalánc egésze így nem látja az eredményt a határidőre, a hibák viszont szűk körben maradnak.</t>
        </is>
      </c>
      <c r="F27" s="17" t="inlineStr">
        <is>
          <t>Inkrementalizmus (átevickélés)</t>
        </is>
      </c>
      <c r="G27" s="17" t="inlineStr">
        <is>
          <t>Az inkrementalizmus azt jelenti, hogy nagy, egyszeri lépések helyett kis, fokozatos korrekciókkal haladunk, és menet közben tanulunk. A próbaüzem kicsiben megmutatja, mi működik és mi nem. A határidőre viszont nem lesz látványos eredmény, és a patikalánc ezt könnyen óvatoskodásnak láthatja.</t>
        </is>
      </c>
      <c r="H27" s="18" t="n">
        <v>-1</v>
      </c>
      <c r="I27" s="18" t="n">
        <v>1</v>
      </c>
      <c r="J27" s="18" t="n">
        <v>2</v>
      </c>
      <c r="K27" s="18" t="n">
        <v>0</v>
      </c>
      <c r="L27" s="18" t="n">
        <v>1</v>
      </c>
      <c r="M27" s="19">
        <f>ROUND(3*(0.22*H27+0.22*I27+0.2*J27+0.18*K27+0.18*L27),1)</f>
        <v/>
      </c>
      <c r="N27" s="20">
        <f>IF(COUNT(H27:L27)&lt;5,"hiányzó pont",IF(OR(MIN(H27:L27)&lt;-3,MAX(H27:L27)&gt;3),"−3…+3 közé",IF(COUNTIF(H27:L27,"&gt;0")=0,"kell pozitív is",IF(COUNTIF(H27:L27,"&lt;0")=0,"kell negatív is","rendben"))))</f>
        <v/>
      </c>
    </row>
    <row r="28" ht="76" customHeight="1">
      <c r="A28" s="15" t="n"/>
      <c r="B28" s="16" t="n"/>
      <c r="C28" s="17" t="n"/>
      <c r="D28" s="15" t="inlineStr">
        <is>
          <t>C</t>
        </is>
      </c>
      <c r="E28" s="17" t="inlineStr">
        <is>
          <t>Mindenhol elindítjátok, a hibákat pedig menet közben javítjátok. A határidő tartható, és a patikalánc végre valami nagyot lát.</t>
        </is>
      </c>
      <c r="F28" s="17" t="inlineStr">
        <is>
          <t>Diszkontálás</t>
        </is>
      </c>
      <c r="G28" s="17" t="inlineStr">
        <is>
          <t>A diszkontálás az a hajlamunk, hogy a közeli dolgokat túlértékeljük, a távolabbiakat pedig alábecsüljük. A határidő itt van előtted, a rossz válaszok okozta bosszúság viszont csak később és szétszórva jelentkezik. A határidőt tartod, de ha a hibák összeadódnak, éppen azt a megbízhatóságot sérted, amiért az egész munka elindult.</t>
        </is>
      </c>
      <c r="H28" s="18" t="n">
        <v>2</v>
      </c>
      <c r="I28" s="18" t="n">
        <v>-1</v>
      </c>
      <c r="J28" s="18" t="n">
        <v>-2</v>
      </c>
      <c r="K28" s="18" t="n">
        <v>-1</v>
      </c>
      <c r="L28" s="18" t="n">
        <v>-1</v>
      </c>
      <c r="M28" s="19">
        <f>ROUND(3*(0.22*H28+0.22*I28+0.2*J28+0.18*K28+0.18*L28),1)</f>
        <v/>
      </c>
      <c r="N28" s="20">
        <f>IF(COUNT(H28:L28)&lt;5,"hiányzó pont",IF(OR(MIN(H28:L28)&lt;-3,MAX(H28:L28)&gt;3),"−3…+3 közé",IF(COUNTIF(H28:L28,"&gt;0")=0,"kell pozitív is",IF(COUNTIF(H28:L28,"&lt;0")=0,"kell negatív is","rendben"))))</f>
        <v/>
      </c>
    </row>
    <row r="29" ht="90" customHeight="1">
      <c r="A29" s="15" t="n"/>
      <c r="B29" s="16" t="n"/>
      <c r="C29" s="17" t="n"/>
      <c r="D29" s="15" t="inlineStr">
        <is>
          <t>D</t>
        </is>
      </c>
      <c r="E29" s="17" t="inlineStr">
        <is>
          <t>Elindítjátok, de minden válasz alatt ott lesz egy gomb: „Kérem, hívjon vissza egy munkatárs.” Így a hibás válaszok egy része is emberhez kerül, csak kicsit később.</t>
        </is>
      </c>
      <c r="F29" s="17" t="inlineStr">
        <is>
          <t>Snowden–Boone: komplex helyzet</t>
        </is>
      </c>
      <c r="G29" s="17" t="inlineStr">
        <is>
          <t>Snowden és Boone szerint komplex helyzetben nincs előre biztos válasz: olyan lépéseket kell tenni, amelyekből tanulni lehet, és amelyek kudarca nem végzetes. A visszahívás gomb ilyen biztonsági háló: a program éles használat közben tanul, a hibáit pedig ember szűri ki. Ennek ára, hogy néhány rossz válasz így is eljut a patikákhoz, és a csapatra többletmunka hárul.</t>
        </is>
      </c>
      <c r="H29" s="18" t="n">
        <v>1</v>
      </c>
      <c r="I29" s="18" t="n">
        <v>2</v>
      </c>
      <c r="J29" s="18" t="n">
        <v>2</v>
      </c>
      <c r="K29" s="18" t="n">
        <v>1</v>
      </c>
      <c r="L29" s="18" t="n">
        <v>-1</v>
      </c>
      <c r="M29" s="19">
        <f>ROUND(3*(0.22*H29+0.22*I29+0.2*J29+0.18*K29+0.18*L29),1)</f>
        <v/>
      </c>
      <c r="N29" s="20">
        <f>IF(COUNT(H29:L29)&lt;5,"hiányzó pont",IF(OR(MIN(H29:L29)&lt;-3,MAX(H29:L29)&gt;3),"−3…+3 közé",IF(COUNTIF(H29:L29,"&gt;0")=0,"kell pozitív is",IF(COUNTIF(H29:L29,"&lt;0")=0,"kell negatív is","rendben"))))</f>
        <v/>
      </c>
    </row>
    <row r="30" ht="76" customHeight="1">
      <c r="A30" s="9" t="n">
        <v>8</v>
      </c>
      <c r="B30" s="10" t="inlineStr">
        <is>
          <t>Szerződési ajánlatok mérlegelése</t>
        </is>
      </c>
      <c r="C30" s="11" t="inlineStr">
        <is>
          <t>A tizedik héten a patikalánc válaszol: maradnának, és két lehetőséget kínálnak. Az egyik egy hároméves szerződés tizenöt százalékos árengedménnyel, a másik egy egyéves szerződés a mostani áron, de szigorú kötbérrel. Gábor közben két kisebb ügyfelet is hozott, akik együtt pótolhatnák a patikaláncot, ha elengednétek. Holnapig kell válaszolni. A tárgyalóban ott ül veled a pénzügyi igazgató és Gábor.</t>
        </is>
      </c>
      <c r="D30" s="9" t="inlineStr">
        <is>
          <t>A</t>
        </is>
      </c>
      <c r="E30" s="11" t="inlineStr">
        <is>
          <t>Holnap reggel a csapatodat is megkérdezed, hiszen nekik kell majd teljesíteniük, akármelyik mellett döntötök. Tudod, hogy így a hír a tárgyalás előtt kiszivároghat.</t>
        </is>
      </c>
      <c r="F30" s="11" t="inlineStr">
        <is>
          <t>Konzultatív döntéshozatal</t>
        </is>
      </c>
      <c r="G30" s="11" t="inlineStr">
        <is>
          <t>A jegyzet csoportos döntési modelljei közül a konzultatív döntésnél a vezető meghallgatja a csoport véleményét, de a döntést ő maga hozza meg. A csapat tudja, mennyit bír el, és ha megkérdezed, a végrehajtás során is jobban kitart melletted. Az ára az idő, és az, hogy egy érzékeny tárgyalási pozíció több ember kezébe kerül.</t>
        </is>
      </c>
      <c r="H30" s="12" t="n">
        <v>-1</v>
      </c>
      <c r="I30" s="12" t="n">
        <v>2</v>
      </c>
      <c r="J30" s="12" t="n">
        <v>1</v>
      </c>
      <c r="K30" s="12" t="n">
        <v>1</v>
      </c>
      <c r="L30" s="12" t="n">
        <v>3</v>
      </c>
      <c r="M30" s="13">
        <f>ROUND(3*(0.22*H30+0.22*I30+0.2*J30+0.18*K30+0.18*L30),1)</f>
        <v/>
      </c>
      <c r="N30" s="14">
        <f>IF(COUNT(H30:L30)&lt;5,"hiányzó pont",IF(OR(MIN(H30:L30)&lt;-3,MAX(H30:L30)&gt;3),"−3…+3 közé",IF(COUNTIF(H30:L30,"&gt;0")=0,"kell pozitív is",IF(COUNTIF(H30:L30,"&lt;0")=0,"kell negatív is","rendben"))))</f>
        <v/>
      </c>
    </row>
    <row r="31" ht="90" customHeight="1">
      <c r="A31" s="15" t="n"/>
      <c r="B31" s="16" t="n"/>
      <c r="C31" s="17" t="n"/>
      <c r="D31" s="15" t="inlineStr">
        <is>
          <t>B</t>
        </is>
      </c>
      <c r="E31" s="17" t="inlineStr">
        <is>
          <t>A hároméves szerződést választod: az elmúlt hónapok után a biztonság a legfontosabb, még ha kisebb is a haszon.</t>
        </is>
      </c>
      <c r="F31" s="17" t="inlineStr">
        <is>
          <t>Utólagossági hatás</t>
        </is>
      </c>
      <c r="G31" s="17" t="inlineStr">
        <is>
          <t>Az utólagossági hatás azt jelenti, hogy a legfrissebb, legélénkebb élmény köré rendezzük a megítélést. A majdnem elveszített ügyfél emléke olyan erős, hogy minden mást a biztonság mögé soroltál. Ez érthető és védhető, de három évre olcsóbban kötöd le a cég legnagyobb bevételét, és a csapatnak ugyanazt kell teljesítenie kevesebb pénzért.</t>
        </is>
      </c>
      <c r="H31" s="18" t="n">
        <v>2</v>
      </c>
      <c r="I31" s="18" t="n">
        <v>1</v>
      </c>
      <c r="J31" s="18" t="n">
        <v>-1</v>
      </c>
      <c r="K31" s="18" t="n">
        <v>1</v>
      </c>
      <c r="L31" s="18" t="n">
        <v>-2</v>
      </c>
      <c r="M31" s="19">
        <f>ROUND(3*(0.22*H31+0.22*I31+0.2*J31+0.18*K31+0.18*L31),1)</f>
        <v/>
      </c>
      <c r="N31" s="20">
        <f>IF(COUNT(H31:L31)&lt;5,"hiányzó pont",IF(OR(MIN(H31:L31)&lt;-3,MAX(H31:L31)&gt;3),"−3…+3 közé",IF(COUNTIF(H31:L31,"&gt;0")=0,"kell pozitív is",IF(COUNTIF(H31:L31,"&lt;0")=0,"kell negatív is","rendben"))))</f>
        <v/>
      </c>
    </row>
    <row r="32" ht="76" customHeight="1">
      <c r="A32" s="15" t="n"/>
      <c r="B32" s="16" t="n"/>
      <c r="C32" s="17" t="n"/>
      <c r="D32" s="15" t="inlineStr">
        <is>
          <t>C</t>
        </is>
      </c>
      <c r="E32" s="17" t="inlineStr">
        <is>
          <t>Egymás mellé teszitek a három lehetőséget a bevétel, a kockázat, a csapat terhelése és a hosszú távú kapcsolat szerint, és először megnézitek, van-e köztük olyan, amelyik mindenben rosszabb valamelyik másiknál. Ez éjfélig eltart.</t>
        </is>
      </c>
      <c r="F32" s="17" t="inlineStr">
        <is>
          <t>Dominancia elve</t>
        </is>
      </c>
      <c r="G32" s="17" t="inlineStr">
        <is>
          <t>A dominancia elve szerint ha egy lehetőség semmiben sem jobb egy másiknál, és legalább egy szempontból rosszabb, kihúzhatjuk, mielőtt a nehéz mérlegelésbe kezdenénk. Így a döntés a valódi esélyesekre szűkül. Maga a választás — mennyi kockázatot ér meg a nagyobb haszon — ettől még a te dolgod marad, és az éjszaka is rámegy.</t>
        </is>
      </c>
      <c r="H32" s="18" t="n">
        <v>1</v>
      </c>
      <c r="I32" s="18" t="n">
        <v>2</v>
      </c>
      <c r="J32" s="18" t="n">
        <v>3</v>
      </c>
      <c r="K32" s="18" t="n">
        <v>1</v>
      </c>
      <c r="L32" s="18" t="n">
        <v>-1</v>
      </c>
      <c r="M32" s="19">
        <f>ROUND(3*(0.22*H32+0.22*I32+0.2*J32+0.18*K32+0.18*L32),1)</f>
        <v/>
      </c>
      <c r="N32" s="20">
        <f>IF(COUNT(H32:L32)&lt;5,"hiányzó pont",IF(OR(MIN(H32:L32)&lt;-3,MAX(H32:L32)&gt;3),"−3…+3 közé",IF(COUNTIF(H32:L32,"&gt;0")=0,"kell pozitív is",IF(COUNTIF(H32:L32,"&lt;0")=0,"kell negatív is","rendben"))))</f>
        <v/>
      </c>
    </row>
    <row r="33" ht="76" customHeight="1">
      <c r="A33" s="15" t="n"/>
      <c r="B33" s="16" t="n"/>
      <c r="C33" s="17" t="n"/>
      <c r="D33" s="15" t="inlineStr">
        <is>
          <t>D</t>
        </is>
      </c>
      <c r="E33" s="17" t="inlineStr">
        <is>
          <t>A pénzügyi igazgatóra bízod a döntést: ő látja a legjobban a számokat, és a tulajdonosok is az ő szavára hallgatnak.</t>
        </is>
      </c>
      <c r="F33" s="17" t="inlineStr">
        <is>
          <t>Ezredes-hatás</t>
        </is>
      </c>
      <c r="G33" s="17" t="inlineStr">
        <is>
          <t>Az ezredes-hatás az a hajlamunk, hogy a magas beosztású vagy nagy tekintélyű emberek szavát hitelesebbnek tartjuk. A pénzügyi igazgató valóban jól látja a számokat, de a csapat terhelését és az ügyfélkapcsolatot nem ő ismeri a legjobban. A döntés szakszerű lesz, a felelősség viszont kicsúszik a kezedből.</t>
        </is>
      </c>
      <c r="H33" s="18" t="n">
        <v>1</v>
      </c>
      <c r="I33" s="18" t="n">
        <v>0</v>
      </c>
      <c r="J33" s="18" t="n">
        <v>1</v>
      </c>
      <c r="K33" s="18" t="n">
        <v>-3</v>
      </c>
      <c r="L33" s="18" t="n">
        <v>-1</v>
      </c>
      <c r="M33" s="19">
        <f>ROUND(3*(0.22*H33+0.22*I33+0.2*J33+0.18*K33+0.18*L33),1)</f>
        <v/>
      </c>
      <c r="N33" s="20">
        <f>IF(COUNT(H33:L33)&lt;5,"hiányzó pont",IF(OR(MIN(H33:L33)&lt;-3,MAX(H33:L33)&gt;3),"−3…+3 közé",IF(COUNTIF(H33:L33,"&gt;0")=0,"kell pozitív is",IF(COUNTIF(H33:L33,"&lt;0")=0,"kell negatív is","rendben"))))</f>
        <v/>
      </c>
    </row>
    <row r="34" ht="76" customHeight="1">
      <c r="A34" s="9" t="n">
        <v>9</v>
      </c>
      <c r="B34" s="10" t="inlineStr">
        <is>
          <t>Adatszivárgás az aláírás előtt</t>
        </is>
      </c>
      <c r="C34" s="11" t="inlineStr">
        <is>
          <t>Az aláírás előtti éjjel negyed tizenkettőkor felhív az ügyeletes informatikus. A csevegőprogram egy beállítási hiba miatt három órán át mások számára is láthatóvá tette kétezer patikai vásárló adatait, köztük gyógyszerneveket is. A hibát már kijavították, és kívülről senki sem tud róla. Az aláírás reggel tízkor lesz, és a cég bevételének negyede múlik rajta.</t>
        </is>
      </c>
      <c r="D34" s="9" t="inlineStr">
        <is>
          <t>A</t>
        </is>
      </c>
      <c r="E34" s="11" t="inlineStr">
        <is>
          <t>Még éjjel felhívod a vezérigazgatót, reggel pedig — még az aláírás előtt — elmondjátok a patikaláncnak. Tudod, hogy így a szerződés is elveszhet.</t>
        </is>
      </c>
      <c r="F34" s="11" t="inlineStr">
        <is>
          <t>Moralitás detektor: napfény teszt</t>
        </is>
      </c>
      <c r="G34" s="11" t="inlineStr">
        <is>
          <t>A napfény teszt egyetlen kérdés: jól érezném-e magam, ha ez a döntés minden részletével együtt nyilvánosságra kerülne? Ha az ügyfél utólag tudja meg, hogy az aláíráskor már ismerted a hibát, azt nem fogod tudni megmagyarázni. Az őszinteség ára lehet a szerződés — és vele együtt az állások egy része.</t>
        </is>
      </c>
      <c r="H34" s="12" t="n">
        <v>2</v>
      </c>
      <c r="I34" s="12" t="n">
        <v>3</v>
      </c>
      <c r="J34" s="12" t="n">
        <v>1</v>
      </c>
      <c r="K34" s="12" t="n">
        <v>3</v>
      </c>
      <c r="L34" s="12" t="n">
        <v>-2</v>
      </c>
      <c r="M34" s="13">
        <f>ROUND(3*(0.22*H34+0.22*I34+0.2*J34+0.18*K34+0.18*L34),1)</f>
        <v/>
      </c>
      <c r="N34" s="14">
        <f>IF(COUNT(H34:L34)&lt;5,"hiányzó pont",IF(OR(MIN(H34:L34)&lt;-3,MAX(H34:L34)&gt;3),"−3…+3 közé",IF(COUNTIF(H34:L34,"&gt;0")=0,"kell pozitív is",IF(COUNTIF(H34:L34,"&lt;0")=0,"kell negatív is","rendben"))))</f>
        <v/>
      </c>
    </row>
    <row r="35" ht="90" customHeight="1">
      <c r="A35" s="15" t="n"/>
      <c r="B35" s="16" t="n"/>
      <c r="C35" s="17" t="n"/>
      <c r="D35" s="15" t="inlineStr">
        <is>
          <t>B</t>
        </is>
      </c>
      <c r="E35" s="17" t="inlineStr">
        <is>
          <t>Reggelig senkinek sem szólsz: az informatikussal kettesben kivizsgáljátok, pontosan kiket érintett a hiba, és csak utána döntesz a bejelentésről.</t>
        </is>
      </c>
      <c r="F35" s="17" t="inlineStr">
        <is>
          <t>Autokratikus döntés</t>
        </is>
      </c>
      <c r="G35" s="17" t="inlineStr">
        <is>
          <t>Az autokratikus döntésnél a vezető egyedül dönt, mások alig vesznek részt benne. A jegyzet szerint ez válsághelyzetben, időhiány esetén indokolt lehet, és most valóban nincs idő hosszas egyeztetésre. A kockázat az, hogy egyedül cipelsz egy olyan terhet, amelyről a vezérigazgatónak is tudnia kellene, és reggelre már alig marad mozgástered.</t>
        </is>
      </c>
      <c r="H35" s="18" t="n">
        <v>0</v>
      </c>
      <c r="I35" s="18" t="n">
        <v>-2</v>
      </c>
      <c r="J35" s="18" t="n">
        <v>2</v>
      </c>
      <c r="K35" s="18" t="n">
        <v>1</v>
      </c>
      <c r="L35" s="18" t="n">
        <v>-2</v>
      </c>
      <c r="M35" s="19">
        <f>ROUND(3*(0.22*H35+0.22*I35+0.2*J35+0.18*K35+0.18*L35),1)</f>
        <v/>
      </c>
      <c r="N35" s="20">
        <f>IF(COUNT(H35:L35)&lt;5,"hiányzó pont",IF(OR(MIN(H35:L35)&lt;-3,MAX(H35:L35)&gt;3),"−3…+3 közé",IF(COUNTIF(H35:L35,"&gt;0")=0,"kell pozitív is",IF(COUNTIF(H35:L35,"&lt;0")=0,"kell negatív is","rendben"))))</f>
        <v/>
      </c>
    </row>
    <row r="36" ht="76" customHeight="1">
      <c r="A36" s="15" t="n"/>
      <c r="B36" s="16" t="n"/>
      <c r="C36" s="17" t="n"/>
      <c r="D36" s="15" t="inlineStr">
        <is>
          <t>C</t>
        </is>
      </c>
      <c r="E36" s="17" t="inlineStr">
        <is>
          <t>Még éjjel felhívod a patikalánc vezetőjét, négyszemközt elmondod neki, mi történt, és megkérdezed, hogyan kezeljétek közösen. Ezzel őt is nehéz helyzetbe hozod.</t>
        </is>
      </c>
      <c r="F36" s="17" t="inlineStr">
        <is>
          <t>Mintzberg tárgyaló szerepe</t>
        </is>
      </c>
      <c r="G36" s="17" t="inlineStr">
        <is>
          <t>Mintzberg tárgyaló szerepében a vezető a másik féllel közösen alakítja ki a megoldást. Így az ügyfél nem utólag, hanem időben értesül a hibáról, és beleszólhat a kezelésébe. Csakhogy a kényes döntés egy részét ráterhelted, a saját céged vezetése pedig kimaradt a legfontosabb beszélgetésből.</t>
        </is>
      </c>
      <c r="H36" s="18" t="n">
        <v>-1</v>
      </c>
      <c r="I36" s="18" t="n">
        <v>2</v>
      </c>
      <c r="J36" s="18" t="n">
        <v>1</v>
      </c>
      <c r="K36" s="18" t="n">
        <v>1</v>
      </c>
      <c r="L36" s="18" t="n">
        <v>2</v>
      </c>
      <c r="M36" s="19">
        <f>ROUND(3*(0.22*H36+0.22*I36+0.2*J36+0.18*K36+0.18*L36),1)</f>
        <v/>
      </c>
      <c r="N36" s="20">
        <f>IF(COUNT(H36:L36)&lt;5,"hiányzó pont",IF(OR(MIN(H36:L36)&lt;-3,MAX(H36:L36)&gt;3),"−3…+3 közé",IF(COUNTIF(H36:L36,"&gt;0")=0,"kell pozitív is",IF(COUNTIF(H36:L36,"&lt;0")=0,"kell negatív is","rendben"))))</f>
        <v/>
      </c>
    </row>
    <row r="37" ht="76" customHeight="1">
      <c r="A37" s="15" t="n"/>
      <c r="B37" s="16" t="n"/>
      <c r="C37" s="17" t="n"/>
      <c r="D37" s="15" t="inlineStr">
        <is>
          <t>D</t>
        </is>
      </c>
      <c r="E37" s="17" t="inlineStr">
        <is>
          <t>Aláírtok, és utána, a törvényes határidőn belül jelentitek az incidenst. Nem hazudsz, csak úgy választod meg a sorrendet, hogy háromszáz ember állása ne kerüljön veszélybe.</t>
        </is>
      </c>
      <c r="F37" s="17" t="inlineStr">
        <is>
          <t>Gátló racionalizálás: „jó célt szolgál”</t>
        </is>
      </c>
      <c r="G37" s="17" t="inlineStr">
        <is>
          <t>A gátló racionalizálások olyan érvek, amelyekkel egy kétes döntést a saját szemünkben elfogadhatóvá teszünk. A „jó célt szolgál” itt valódi célt véd: háromszáz ember állását. A hozzá vezető út azonban az, hogy az ügyfél egy számára fontos tény ismerete nélkül írja alá a szerződést — és ezt később nem lehet visszacsinálni.</t>
        </is>
      </c>
      <c r="H37" s="18" t="n">
        <v>1</v>
      </c>
      <c r="I37" s="18" t="n">
        <v>-3</v>
      </c>
      <c r="J37" s="18" t="n">
        <v>0</v>
      </c>
      <c r="K37" s="18" t="n">
        <v>-2</v>
      </c>
      <c r="L37" s="18" t="n">
        <v>1</v>
      </c>
      <c r="M37" s="19">
        <f>ROUND(3*(0.22*H37+0.22*I37+0.2*J37+0.18*K37+0.18*L37),1)</f>
        <v/>
      </c>
      <c r="N37" s="20">
        <f>IF(COUNT(H37:L37)&lt;5,"hiányzó pont",IF(OR(MIN(H37:L37)&lt;-3,MAX(H37:L37)&gt;3),"−3…+3 közé",IF(COUNTIF(H37:L37,"&gt;0")=0,"kell pozitív is",IF(COUNTIF(H37:L37,"&lt;0")=0,"kell negatív is","rendben"))))</f>
        <v/>
      </c>
    </row>
    <row r="38" ht="90" customHeight="1">
      <c r="A38" s="9" t="n">
        <v>10</v>
      </c>
      <c r="B38" s="10" t="inlineStr">
        <is>
          <t>Visszatekintés a csapattal</t>
        </is>
      </c>
      <c r="C38" s="11" t="inlineStr">
        <is>
          <t>A három hónap véget ért. Hétfő reggel a csapat összegyűlik a csapatszobában. Volt, aki hatvanórás heteket dolgozott végig. A vezérigazgató kért egy diát arról, mit tanult a cég ebből az időszakból, a csapat pedig azt kérdezi tőled: mi lesz velünk ezután?</t>
        </is>
      </c>
      <c r="D38" s="9" t="inlineStr">
        <is>
          <t>A</t>
        </is>
      </c>
      <c r="E38" s="11" t="inlineStr">
        <is>
          <t>Elmondod, hol hibáztál, mit gondoltál rosszul az elején, és megkérdezed őket, ők mit csinálnának másképp. A diára is ez kerül.</t>
        </is>
      </c>
      <c r="F38" s="11" t="inlineStr">
        <is>
          <t>Reflektív gondolkodás és a következtetési létra</t>
        </is>
      </c>
      <c r="G38" s="11" t="inlineStr">
        <is>
          <t>A következtetési létra azt mutatja be, milyen gyorsan jutunk el a látott tényektől a feltevésekig és az ítéletekig; a reflektív gondolkodás azt jelenti, hogy tudatosan visszamászunk ezen a létrán. Ha kimondod, melyik feltevésed volt téves, a csapat is mer majd így gondolkodni. A vezérigazgató szemében viszont ez a dia kevésbé lesz fényes.</t>
        </is>
      </c>
      <c r="H38" s="12" t="n">
        <v>-1</v>
      </c>
      <c r="I38" s="12" t="n">
        <v>3</v>
      </c>
      <c r="J38" s="12" t="n">
        <v>2</v>
      </c>
      <c r="K38" s="12" t="n">
        <v>3</v>
      </c>
      <c r="L38" s="12" t="n">
        <v>1</v>
      </c>
      <c r="M38" s="13">
        <f>ROUND(3*(0.22*H38+0.22*I38+0.2*J38+0.18*K38+0.18*L38),1)</f>
        <v/>
      </c>
      <c r="N38" s="14">
        <f>IF(COUNT(H38:L38)&lt;5,"hiányzó pont",IF(OR(MIN(H38:L38)&lt;-3,MAX(H38:L38)&gt;3),"−3…+3 közé",IF(COUNTIF(H38:L38,"&gt;0")=0,"kell pozitív is",IF(COUNTIF(H38:L38,"&lt;0")=0,"kell negatív is","rendben"))))</f>
        <v/>
      </c>
    </row>
    <row r="39" ht="76" customHeight="1">
      <c r="A39" s="15" t="n"/>
      <c r="B39" s="16" t="n"/>
      <c r="C39" s="17" t="n"/>
      <c r="D39" s="15" t="inlineStr">
        <is>
          <t>B</t>
        </is>
      </c>
      <c r="E39" s="17" t="inlineStr">
        <is>
          <t>Megköszönöd a munkájukat, és bejelented a következő nagy célt. Úgy gondolod, most lendületre van szükség, nem a múlt boncolgatására.</t>
        </is>
      </c>
      <c r="F39" s="17" t="inlineStr">
        <is>
          <t>Problémakerülő magatartás</t>
        </is>
      </c>
      <c r="G39" s="17" t="inlineStr">
        <is>
          <t>A jegyzet háromféle vezetői stratégiát különít el: a problémakeresőt, a problémamegoldót és a problémakerülőt, aki a nehéz kérdésekről inkább nem vesz tudomást. A lendület valóban fontos, és a köszönet is jár. Ha viszont a három hónap tanulságai kimaradnak, a következő válságban ugyanazokat a hibákat fogjátok elkövetni.</t>
        </is>
      </c>
      <c r="H39" s="18" t="n">
        <v>1</v>
      </c>
      <c r="I39" s="18" t="n">
        <v>-1</v>
      </c>
      <c r="J39" s="18" t="n">
        <v>-2</v>
      </c>
      <c r="K39" s="18" t="n">
        <v>-2</v>
      </c>
      <c r="L39" s="18" t="n">
        <v>-1</v>
      </c>
      <c r="M39" s="19">
        <f>ROUND(3*(0.22*H39+0.22*I39+0.2*J39+0.18*K39+0.18*L39),1)</f>
        <v/>
      </c>
      <c r="N39" s="20">
        <f>IF(COUNT(H39:L39)&lt;5,"hiányzó pont",IF(OR(MIN(H39:L39)&lt;-3,MAX(H39:L39)&gt;3),"−3…+3 közé",IF(COUNTIF(H39:L39,"&gt;0")=0,"kell pozitív is",IF(COUNTIF(H39:L39,"&lt;0")=0,"kell negatív is","rendben"))))</f>
        <v/>
      </c>
    </row>
    <row r="40" ht="90" customHeight="1">
      <c r="A40" s="15" t="n"/>
      <c r="B40" s="16" t="n"/>
      <c r="C40" s="17" t="n"/>
      <c r="D40" s="15" t="inlineStr">
        <is>
          <t>C</t>
        </is>
      </c>
      <c r="E40" s="17" t="inlineStr">
        <is>
          <t>A vezérigazgatónak szánt diára a sikereket a csapat érdemeként, a gondokat pedig a nehéz körülmények — a túlterhelés és a határidő — következményeként írod fel. A csapat büszke lehet magára.</t>
        </is>
      </c>
      <c r="F40" s="17" t="inlineStr">
        <is>
          <t>Énmegerősítő attribúció</t>
        </is>
      </c>
      <c r="G40" s="17" t="inlineStr">
        <is>
          <t>Az énmegerősítő attribúció az a hajlamunk, hogy a sikereket magunknak, a kudarcokat pedig a körülményeknek tulajdonítjuk; ez egy egész csapatra is igaz lehet. A dia büszkeséget ad, és a körülmények valóban nehezek voltak. Így viszont senki sem néz szembe azzal, mit lehetett volna jobban csinálni, és a vezérigazgató sem kap valódi tanulságot.</t>
        </is>
      </c>
      <c r="H40" s="18" t="n">
        <v>1</v>
      </c>
      <c r="I40" s="18" t="n">
        <v>-2</v>
      </c>
      <c r="J40" s="18" t="n">
        <v>-1</v>
      </c>
      <c r="K40" s="18" t="n">
        <v>-2</v>
      </c>
      <c r="L40" s="18" t="n">
        <v>2</v>
      </c>
      <c r="M40" s="19">
        <f>ROUND(3*(0.22*H40+0.22*I40+0.2*J40+0.18*K40+0.18*L40),1)</f>
        <v/>
      </c>
      <c r="N40" s="20">
        <f>IF(COUNT(H40:L40)&lt;5,"hiányzó pont",IF(OR(MIN(H40:L40)&lt;-3,MAX(H40:L40)&gt;3),"−3…+3 közé",IF(COUNTIF(H40:L40,"&gt;0")=0,"kell pozitív is",IF(COUNTIF(H40:L40,"&lt;0")=0,"kell negatív is","rendben"))))</f>
        <v/>
      </c>
    </row>
    <row r="41" ht="76" customHeight="1">
      <c r="A41" s="15" t="n"/>
      <c r="B41" s="16" t="n"/>
      <c r="C41" s="17" t="n"/>
      <c r="D41" s="15" t="inlineStr">
        <is>
          <t>D</t>
        </is>
      </c>
      <c r="E41" s="17" t="inlineStr">
        <is>
          <t>Mindenki névtelenül leírja, mi ment rosszul, és ebből te állítod össze a diát. Így őszintébb válaszokat kapsz, de te döntöd el, mi kerül bele.</t>
        </is>
      </c>
      <c r="F41" s="17" t="inlineStr">
        <is>
          <t>Mintzberg információgyűjtő szerepe</t>
        </is>
      </c>
      <c r="G41" s="17" t="inlineStr">
        <is>
          <t>Mintzberg információgyűjtő szerepében a vezető a szervezeten belüli információáramlás központja. A névtelenségnek köszönhetően olyan dolgok is felszínre kerülnek, amelyeket szemtől szemben senki sem mondana ki. A szűrés viszont a te kezedben marad, és a csapat nem látja, mi lett a véleményéből.</t>
        </is>
      </c>
      <c r="H41" s="18" t="n">
        <v>0</v>
      </c>
      <c r="I41" s="18" t="n">
        <v>-1</v>
      </c>
      <c r="J41" s="18" t="n">
        <v>2</v>
      </c>
      <c r="K41" s="18" t="n">
        <v>1</v>
      </c>
      <c r="L41" s="18" t="n">
        <v>2</v>
      </c>
      <c r="M41" s="19">
        <f>ROUND(3*(0.22*H41+0.22*I41+0.2*J41+0.18*K41+0.18*L41),1)</f>
        <v/>
      </c>
      <c r="N41" s="20">
        <f>IF(COUNT(H41:L41)&lt;5,"hiányzó pont",IF(OR(MIN(H41:L41)&lt;-3,MAX(H41:L41)&gt;3),"−3…+3 közé",IF(COUNTIF(H41:L41,"&gt;0")=0,"kell pozitív is",IF(COUNTIF(H41:L41,"&lt;0")=0,"kell negatív is","rendben"))))</f>
        <v/>
      </c>
    </row>
  </sheetData>
  <autoFilter ref="A1:N41"/>
  <mergeCells count="30">
    <mergeCell ref="C14:C17"/>
    <mergeCell ref="B22:B25"/>
    <mergeCell ref="B18:B21"/>
    <mergeCell ref="C26:C29"/>
    <mergeCell ref="A30:A33"/>
    <mergeCell ref="C30:C33"/>
    <mergeCell ref="B2:B5"/>
    <mergeCell ref="C10:C13"/>
    <mergeCell ref="B14:B17"/>
    <mergeCell ref="C22:C25"/>
    <mergeCell ref="A6:A9"/>
    <mergeCell ref="B38:B41"/>
    <mergeCell ref="B10:B13"/>
    <mergeCell ref="A18:A21"/>
    <mergeCell ref="A26:A29"/>
    <mergeCell ref="A2:A5"/>
    <mergeCell ref="B34:B37"/>
    <mergeCell ref="C2:C5"/>
    <mergeCell ref="B6:B9"/>
    <mergeCell ref="B30:B33"/>
    <mergeCell ref="A14:A17"/>
    <mergeCell ref="C38:C41"/>
    <mergeCell ref="A10:A13"/>
    <mergeCell ref="A22:A25"/>
    <mergeCell ref="A38:A41"/>
    <mergeCell ref="B26:B29"/>
    <mergeCell ref="A34:A37"/>
    <mergeCell ref="C34:C37"/>
    <mergeCell ref="C6:C9"/>
    <mergeCell ref="C18:C21"/>
  </mergeCells>
  <conditionalFormatting sqref="H2:L41">
    <cfRule type="cellIs" priority="1" operator="greaterThan" dxfId="0">
      <formula>0</formula>
    </cfRule>
    <cfRule type="cellIs" priority="2" operator="lessThan" dxfId="1">
      <formula>0</formula>
    </cfRule>
  </conditionalFormatting>
  <conditionalFormatting sqref="N2:N41">
    <cfRule type="expression" priority="3" dxfId="1">
      <formula>N2&lt;&gt;"rendben"</formula>
    </cfRule>
  </conditionalFormatting>
  <dataValidations count="1">
    <dataValidation sqref="H2:L2 H3:L3 H4:L4 H5:L5 H6:L6 H7:L7 H8:L8 H9:L9 H10:L10 H11:L11 H12:L12 H13:L13 H14:L14 H15:L15 H16:L16 H17:L17 H18:L18 H19:L19 H20:L20 H21:L21 H22:L22 H23:L23 H24:L24 H25:L25 H26:L26 H27:L27 H28:L28 H29:L29 H30:L30 H31:L31 H32:L32 H33:L33 H34:L34 H35:L35 H36:L36 H37:L37 H38:L38 H39:L39 H40:L40 H41:L41" showDropDown="0" showInputMessage="0" showErrorMessage="1" allowBlank="0" errorTitle="Érvénytelen pont" error="Egész számot adj meg −3 és +3 között." type="whole" operator="between">
      <formula1>-3</formula1>
      <formula2>3</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N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46" customWidth="1" min="3" max="3"/>
    <col width="5" customWidth="1" min="4" max="4"/>
    <col width="44" customWidth="1" min="5" max="5"/>
    <col width="22" customWidth="1" min="6" max="6"/>
    <col width="58" customWidth="1" min="7" max="7"/>
    <col width="11" customWidth="1" min="8" max="8"/>
    <col width="11" customWidth="1" min="9" max="9"/>
    <col width="11" customWidth="1" min="10" max="10"/>
    <col width="11" customWidth="1" min="11" max="11"/>
    <col width="11" customWidth="1" min="12" max="12"/>
    <col width="13" customWidth="1" min="13" max="13"/>
    <col width="18" customWidth="1" min="14" max="14"/>
  </cols>
  <sheetData>
    <row r="1" ht="44" customHeight="1">
      <c r="A1" s="6" t="inlineStr">
        <is>
          <t>Sz.</t>
        </is>
      </c>
      <c r="B1" s="6" t="inlineStr">
        <is>
          <t>Jelenet címe</t>
        </is>
      </c>
      <c r="C1" s="6" t="inlineStr">
        <is>
          <t>Helyzet (a játékos ezt olvassa)</t>
        </is>
      </c>
      <c r="D1" s="6" t="inlineStr">
        <is>
          <t>Jel</t>
        </is>
      </c>
      <c r="E1" s="6" t="inlineStr">
        <is>
          <t>Válasz (a játékos ezt olvassa)</t>
        </is>
      </c>
      <c r="F1" s="6" t="inlineStr">
        <is>
          <t>Fogalom (a jegyzetből)</t>
        </is>
      </c>
      <c r="G1" s="6" t="inlineStr">
        <is>
          <t>Kiértékelés (a válasz után jelenik meg)</t>
        </is>
      </c>
      <c r="H1" s="6" t="inlineStr">
        <is>
          <t>Következetesség</t>
        </is>
      </c>
      <c r="I1" s="6" t="inlineStr">
        <is>
          <t>Átláthatóság</t>
        </is>
      </c>
      <c r="J1" s="6" t="inlineStr">
        <is>
          <t>Döntési minőség</t>
        </is>
      </c>
      <c r="K1" s="6" t="inlineStr">
        <is>
          <t>Felelősségvállalás</t>
        </is>
      </c>
      <c r="L1" s="6" t="inlineStr">
        <is>
          <t>Érintettek bevonása</t>
        </is>
      </c>
      <c r="M1" s="6" t="inlineStr">
        <is>
          <t>Súlyozott hatás a Bizalomindexre</t>
        </is>
      </c>
      <c r="N1" s="6" t="inlineStr">
        <is>
          <t>Ellenőrzés</t>
        </is>
      </c>
    </row>
    <row r="2" ht="90" customHeight="1">
      <c r="A2" s="9" t="n">
        <v>1</v>
      </c>
      <c r="B2" s="10" t="inlineStr">
        <is>
          <t>Éjszakai riasztás</t>
        </is>
      </c>
      <c r="C2" s="11" t="inlineStr">
        <is>
          <t>Éjjel egykor riasztás: az ezrednek négy órán belül el kell indulnia Tiszaszögre, ahol hat nap múlva tetőzik az árhullám. Az állomány fele hétvégi eltávozáson van, a laktanya kapujánál már indulásra készen állnak a teherautók. A parancs szerint mindenkinek indulnia kell — a kérdés csak az, hogyan.</t>
        </is>
      </c>
      <c r="D2" s="9" t="inlineStr">
        <is>
          <t>A</t>
        </is>
      </c>
      <c r="E2" s="11" t="inlineStr">
        <is>
          <t>Előreküldesz egy tízfős felderítőcsoportot egy mérnökkel, te pedig négy óra múlva követed őket a többiekkel. Mire megérkezel, már tudod, mi vár rátok.</t>
        </is>
      </c>
      <c r="F2" s="11" t="inlineStr">
        <is>
          <t>Simon: a megértés szakasza</t>
        </is>
      </c>
      <c r="G2" s="11" t="inlineStr">
        <is>
          <t>Herbert Simon szerint a döntés első szakasza a megértés: összegyűjtjük a helyzetről szóló tudást, még mielőtt tervezni kezdenénk. A felderítőknek köszönhetően nem vakon érkezel, és az első óráid terve a valóságra épül. Cserébe eltértél a parancstól, amely az ezred együttes indulásáról szólt, és a kis csoport egy ideig magára marad.</t>
        </is>
      </c>
      <c r="H2" s="12" t="n">
        <v>-1</v>
      </c>
      <c r="I2" s="12" t="n">
        <v>1</v>
      </c>
      <c r="J2" s="12" t="n">
        <v>3</v>
      </c>
      <c r="K2" s="12" t="n">
        <v>1</v>
      </c>
      <c r="L2" s="12" t="n">
        <v>0</v>
      </c>
      <c r="M2" s="13">
        <f>ROUND(3*(0.22*H2+0.22*I2+0.2*J2+0.18*K2+0.18*L2),1)</f>
        <v/>
      </c>
      <c r="N2" s="14">
        <f>IF(COUNT(H2:L2)&lt;5,"hiányzó pont",IF(OR(MIN(H2:L2)&lt;-3,MAX(H2:L2)&gt;3),"−3…+3 közé",IF(COUNTIF(H2:L2,"&gt;0")=0,"kell pozitív is",IF(COUNTIF(H2:L2,"&lt;0")=0,"kell negatív is","rendben"))))</f>
        <v/>
      </c>
    </row>
    <row r="3" ht="76" customHeight="1">
      <c r="A3" s="15" t="n"/>
      <c r="B3" s="16" t="n"/>
      <c r="C3" s="17" t="n"/>
      <c r="D3" s="15" t="inlineStr">
        <is>
          <t>B</t>
        </is>
      </c>
      <c r="E3" s="17" t="inlineStr">
        <is>
          <t>Felhívod az elöljáródat, és kéred, hogy halasszák el az indulást, amíg összeszeded az embereket. Így rendezetten indulhattok, de órákat veszítetek.</t>
        </is>
      </c>
      <c r="F3" s="17" t="inlineStr">
        <is>
          <t>A döntés halogatása</t>
        </is>
      </c>
      <c r="G3" s="17" t="inlineStr">
        <is>
          <t>A jegyzet a döntés halogatásának nevezi, amikor a problémát magunk előtt görgetjük, és kivárjuk, amíg a helyzet kikényszeríti a lépést. Őszintén jelezted a gondot, és az embereidre is gondoltál. A víz viszont nem vár, az elöljáród pedig azt látja, hogy az első órában a parancs megváltoztatásán dolgozol, nem a végrehajtásán.</t>
        </is>
      </c>
      <c r="H3" s="18" t="n">
        <v>-2</v>
      </c>
      <c r="I3" s="18" t="n">
        <v>2</v>
      </c>
      <c r="J3" s="18" t="n">
        <v>-1</v>
      </c>
      <c r="K3" s="18" t="n">
        <v>-1</v>
      </c>
      <c r="L3" s="18" t="n">
        <v>1</v>
      </c>
      <c r="M3" s="19">
        <f>ROUND(3*(0.22*H3+0.22*I3+0.2*J3+0.18*K3+0.18*L3),1)</f>
        <v/>
      </c>
      <c r="N3" s="20">
        <f>IF(COUNT(H3:L3)&lt;5,"hiányzó pont",IF(OR(MIN(H3:L3)&lt;-3,MAX(H3:L3)&gt;3),"−3…+3 közé",IF(COUNTIF(H3:L3,"&gt;0")=0,"kell pozitív is",IF(COUNTIF(H3:L3,"&lt;0")=0,"kell negatív is","rendben"))))</f>
        <v/>
      </c>
    </row>
    <row r="4" ht="76" customHeight="1">
      <c r="A4" s="15" t="n"/>
      <c r="B4" s="16" t="n"/>
      <c r="C4" s="17" t="n"/>
      <c r="D4" s="15" t="inlineStr">
        <is>
          <t>C</t>
        </is>
      </c>
      <c r="E4" s="17" t="inlineStr">
        <is>
          <t>A jelen lévőkkel négy órán belül elindulsz, a többieket pedig egyenesen a helyszínre rendeled. Az első két napban fél létszámmal dolgoztok, de ott vagytok.</t>
        </is>
      </c>
      <c r="F4" s="17" t="inlineStr">
        <is>
          <t>Mintzberg zavarelhárító szerepe</t>
        </is>
      </c>
      <c r="G4" s="17" t="inlineStr">
        <is>
          <t>Mintzberg zavarelhárító szerepében a vezető gyorsan lép, amikor valami megzavarja a működést. Itt valódi érték, hogy időben a helyszínen vagytok, és a parancsot is betartottad. Az ára, hogy az első napokban a fél létszám túlterhelődik, és a kimerültség később visszaüthet.</t>
        </is>
      </c>
      <c r="H4" s="18" t="n">
        <v>2</v>
      </c>
      <c r="I4" s="18" t="n">
        <v>0</v>
      </c>
      <c r="J4" s="18" t="n">
        <v>1</v>
      </c>
      <c r="K4" s="18" t="n">
        <v>2</v>
      </c>
      <c r="L4" s="18" t="n">
        <v>-2</v>
      </c>
      <c r="M4" s="19">
        <f>ROUND(3*(0.22*H4+0.22*I4+0.2*J4+0.18*K4+0.18*L4),1)</f>
        <v/>
      </c>
      <c r="N4" s="20">
        <f>IF(COUNT(H4:L4)&lt;5,"hiányzó pont",IF(OR(MIN(H4:L4)&lt;-3,MAX(H4:L4)&gt;3),"−3…+3 közé",IF(COUNTIF(H4:L4,"&gt;0")=0,"kell pozitív is",IF(COUNTIF(H4:L4,"&lt;0")=0,"kell negatív is","rendben"))))</f>
        <v/>
      </c>
    </row>
    <row r="5" ht="76" customHeight="1">
      <c r="A5" s="15" t="n"/>
      <c r="B5" s="16" t="n"/>
      <c r="C5" s="17" t="n"/>
      <c r="D5" s="15" t="inlineStr">
        <is>
          <t>D</t>
        </is>
      </c>
      <c r="E5" s="17" t="inlineStr">
        <is>
          <t>Visszarendelsz mindenkit, és csak teljes létszámmal indultok, nyolc óra múlva. A szabályzat szerint így kell kivonulni, és így senki sem kap kivételes elbánást.</t>
        </is>
      </c>
      <c r="F5" s="17" t="inlineStr">
        <is>
          <t>Programozott döntés</t>
        </is>
      </c>
      <c r="G5" s="17" t="inlineStr">
        <is>
          <t>Simon programozott döntésnek nevezi azt, amelyre kész rutin vagy szabály létezik. A kivonulási rend ilyen rutin, és sok helyzetben éppen ez ad biztonságot. Egy rendkívüli árhullámnál viszont a szabály szerinti nyolc órával olyan időt veszítesz, amely a helyszínen hiányozni fog.</t>
        </is>
      </c>
      <c r="H5" s="18" t="n">
        <v>2</v>
      </c>
      <c r="I5" s="18" t="n">
        <v>1</v>
      </c>
      <c r="J5" s="18" t="n">
        <v>-2</v>
      </c>
      <c r="K5" s="18" t="n">
        <v>-1</v>
      </c>
      <c r="L5" s="18" t="n">
        <v>0</v>
      </c>
      <c r="M5" s="19">
        <f>ROUND(3*(0.22*H5+0.22*I5+0.2*J5+0.18*K5+0.18*L5),1)</f>
        <v/>
      </c>
      <c r="N5" s="20">
        <f>IF(COUNT(H5:L5)&lt;5,"hiányzó pont",IF(OR(MIN(H5:L5)&lt;-3,MAX(H5:L5)&gt;3),"−3…+3 közé",IF(COUNTIF(H5:L5,"&gt;0")=0,"kell pozitív is",IF(COUNTIF(H5:L5,"&lt;0")=0,"kell negatív is","rendben"))))</f>
        <v/>
      </c>
    </row>
    <row r="6" ht="76" customHeight="1">
      <c r="A6" s="9" t="n">
        <v>2</v>
      </c>
      <c r="B6" s="10" t="inlineStr">
        <is>
          <t>Az erők elosztása</t>
        </is>
      </c>
      <c r="C6" s="11" t="inlineStr">
        <is>
          <t>Megérkeztetek. A törzssátorban a térkép fölé hajol Kiss polgármester, Varga, a vízügyi mérnök és a gazdák képviselője. Varga szerint minden erőt a városi gátra kell összpontosítani. A gazdák szerint viszont ha a tanyák feletti töltés átszakad, odavész a termés és negyven család megélhetése. Mindenki tőled várja, hová küldöd az embereket.</t>
        </is>
      </c>
      <c r="D6" s="9" t="inlineStr">
        <is>
          <t>A</t>
        </is>
      </c>
      <c r="E6" s="11" t="inlineStr">
        <is>
          <t>Fele-fele arányban osztod el az erőket a városi és a tanyasi töltés között, hogy senki se mondhassa, hogy cserben hagytad.</t>
        </is>
      </c>
      <c r="F6" s="11" t="inlineStr">
        <is>
          <t>Korlátozott racionalitás, kielégítő döntés</t>
        </is>
      </c>
      <c r="G6" s="11" t="inlineStr">
        <is>
          <t>Simon szerint a valóságban nem az optimális, hanem az első elfogadható megoldást szoktuk választani. A fele-fele elosztás mindenkinek elfogadható, és azonnal lezárja a vitát. Csakhogy a víz nem egyformán fenyeget, és ha egyik helyen sem lesz elég ember, mindkét töltés gyengébb marad a kelleténél.</t>
        </is>
      </c>
      <c r="H6" s="12" t="n">
        <v>1</v>
      </c>
      <c r="I6" s="12" t="n">
        <v>1</v>
      </c>
      <c r="J6" s="12" t="n">
        <v>-2</v>
      </c>
      <c r="K6" s="12" t="n">
        <v>0</v>
      </c>
      <c r="L6" s="12" t="n">
        <v>2</v>
      </c>
      <c r="M6" s="13">
        <f>ROUND(3*(0.22*H6+0.22*I6+0.2*J6+0.18*K6+0.18*L6),1)</f>
        <v/>
      </c>
      <c r="N6" s="14">
        <f>IF(COUNT(H6:L6)&lt;5,"hiányzó pont",IF(OR(MIN(H6:L6)&lt;-3,MAX(H6:L6)&gt;3),"−3…+3 közé",IF(COUNTIF(H6:L6,"&gt;0")=0,"kell pozitív is",IF(COUNTIF(H6:L6,"&lt;0")=0,"kell negatív is","rendben"))))</f>
        <v/>
      </c>
    </row>
    <row r="7" ht="90" customHeight="1">
      <c r="A7" s="15" t="n"/>
      <c r="B7" s="16" t="n"/>
      <c r="C7" s="17" t="n"/>
      <c r="D7" s="15" t="inlineStr">
        <is>
          <t>B</t>
        </is>
      </c>
      <c r="E7" s="17" t="inlineStr">
        <is>
          <t>A polgármesterre bízod a döntést: ő ismeri a helyieket és a helyzetet, döntse el ő, hová menjenek a katonák.</t>
        </is>
      </c>
      <c r="F7" s="17" t="inlineStr">
        <is>
          <t>A döntés elhárítása</t>
        </is>
      </c>
      <c r="G7" s="17" t="inlineStr">
        <is>
          <t>A jegyzet a döntéshozói magatartások között írja le a döntés elhárítását: a vezető másra hagyja azt, amit neki kellene eldöntenie. A polgármester valóban ismeri a várost, és a helyiek is jobban elfogadják a szavát. Az ezred azonban a te felelősséged, és ha rosszul alakulnak a dolgok, senki sem a polgármestert fogja kérdőre vonni.</t>
        </is>
      </c>
      <c r="H7" s="18" t="n">
        <v>-1</v>
      </c>
      <c r="I7" s="18" t="n">
        <v>0</v>
      </c>
      <c r="J7" s="18" t="n">
        <v>-1</v>
      </c>
      <c r="K7" s="18" t="n">
        <v>-3</v>
      </c>
      <c r="L7" s="18" t="n">
        <v>2</v>
      </c>
      <c r="M7" s="19">
        <f>ROUND(3*(0.22*H7+0.22*I7+0.2*J7+0.18*K7+0.18*L7),1)</f>
        <v/>
      </c>
      <c r="N7" s="20">
        <f>IF(COUNT(H7:L7)&lt;5,"hiányzó pont",IF(OR(MIN(H7:L7)&lt;-3,MAX(H7:L7)&gt;3),"−3…+3 közé",IF(COUNTIF(H7:L7,"&gt;0")=0,"kell pozitív is",IF(COUNTIF(H7:L7,"&lt;0")=0,"kell negatív is","rendben"))))</f>
        <v/>
      </c>
    </row>
    <row r="8" ht="76" customHeight="1">
      <c r="A8" s="15" t="n"/>
      <c r="B8" s="16" t="n"/>
      <c r="C8" s="17" t="n"/>
      <c r="D8" s="15" t="inlineStr">
        <is>
          <t>C</t>
        </is>
      </c>
      <c r="E8" s="17" t="inlineStr">
        <is>
          <t>Mielőtt bárkit bárhová küldenél, végiggondoljátok, kik az érintettek, kinek mi forog kockán, és kinek mekkora a beleszólása. Ez egy óra, miközben a víz emelkedik.</t>
        </is>
      </c>
      <c r="F8" s="17" t="inlineStr">
        <is>
          <t>Érintett-térkép</t>
        </is>
      </c>
      <c r="G8" s="17" t="inlineStr">
        <is>
          <t>Az érintett-térkép megmutatja, kikre hat egy döntés, azokat is beleértve, akik nem ülnek az asztalnál — itt például a kórházat vagy a tanyákon élő időseket. Így válik láthatóvá, kinek a hangja hiányzik a sátorból. Egy óra ilyenkor sok idő, és a sátor előtt várakozó katonák nem értik, miért nem indulnak még.</t>
        </is>
      </c>
      <c r="H8" s="18" t="n">
        <v>-1</v>
      </c>
      <c r="I8" s="18" t="n">
        <v>2</v>
      </c>
      <c r="J8" s="18" t="n">
        <v>2</v>
      </c>
      <c r="K8" s="18" t="n">
        <v>1</v>
      </c>
      <c r="L8" s="18" t="n">
        <v>2</v>
      </c>
      <c r="M8" s="19">
        <f>ROUND(3*(0.22*H8+0.22*I8+0.2*J8+0.18*K8+0.18*L8),1)</f>
        <v/>
      </c>
      <c r="N8" s="20">
        <f>IF(COUNT(H8:L8)&lt;5,"hiányzó pont",IF(OR(MIN(H8:L8)&lt;-3,MAX(H8:L8)&gt;3),"−3…+3 közé",IF(COUNTIF(H8:L8,"&gt;0")=0,"kell pozitív is",IF(COUNTIF(H8:L8,"&lt;0")=0,"kell negatív is","rendben"))))</f>
        <v/>
      </c>
    </row>
    <row r="9" ht="90" customHeight="1">
      <c r="A9" s="15" t="n"/>
      <c r="B9" s="16" t="n"/>
      <c r="C9" s="17" t="n"/>
      <c r="D9" s="15" t="inlineStr">
        <is>
          <t>D</t>
        </is>
      </c>
      <c r="E9" s="17" t="inlineStr">
        <is>
          <t>Vargára hallgatsz: ő a szakember, ő ismeri a gátakat. A városi töltésre összpontosítotok, a gazdák pedig csalódottan mennek haza.</t>
        </is>
      </c>
      <c r="F9" s="17" t="inlineStr">
        <is>
          <t>Szakértői döntéshozatal</t>
        </is>
      </c>
      <c r="G9" s="17" t="inlineStr">
        <is>
          <t>A jegyzet csoportos döntési modelljei között szerepel a szakértői döntés: a csoport azt hagyja dönteni, aki az adott kérdésben a legjáratosabb. A gátakról valóban Varga tud a legtöbbet, és ez erős érv. A modell hátránya, hogy nincs benne párbeszéd, és egy ekkora súlyú döntés — negyven család megélhetése — egyetlen mérnöki szempontra szűkül.</t>
        </is>
      </c>
      <c r="H9" s="18" t="n">
        <v>1</v>
      </c>
      <c r="I9" s="18" t="n">
        <v>1</v>
      </c>
      <c r="J9" s="18" t="n">
        <v>1</v>
      </c>
      <c r="K9" s="18" t="n">
        <v>-2</v>
      </c>
      <c r="L9" s="18" t="n">
        <v>-2</v>
      </c>
      <c r="M9" s="19">
        <f>ROUND(3*(0.22*H9+0.22*I9+0.2*J9+0.18*K9+0.18*L9),1)</f>
        <v/>
      </c>
      <c r="N9" s="20">
        <f>IF(COUNT(H9:L9)&lt;5,"hiányzó pont",IF(OR(MIN(H9:L9)&lt;-3,MAX(H9:L9)&gt;3),"−3…+3 közé",IF(COUNTIF(H9:L9,"&gt;0")=0,"kell pozitív is",IF(COUNTIF(H9:L9,"&lt;0")=0,"kell negatív is","rendben"))))</f>
        <v/>
      </c>
    </row>
    <row r="10" ht="90" customHeight="1">
      <c r="A10" s="9" t="n">
        <v>3</v>
      </c>
      <c r="B10" s="10" t="inlineStr">
        <is>
          <t>Két eltérő előrejelzés</t>
        </is>
      </c>
      <c r="C10" s="11" t="inlineStr">
        <is>
          <t>A dandárparancsnokság minden reggel hatkor egyetlen számot kér: mekkora lesz a tetőzés. Csakhogy két előrejelzés van. Az egyik hét méter húsz centit mond, a másik hét méter kilencvenet, a városi gát pedig hét méter hatvanig biztosan tart. A rádió túloldalán a jelentésedet várják.</t>
        </is>
      </c>
      <c r="D10" s="9" t="inlineStr">
        <is>
          <t>A</t>
        </is>
      </c>
      <c r="E10" s="11" t="inlineStr">
        <is>
          <t>Mindkét számot jelented, és mindkettőhöz leírod, mit teszel, ha az következik be. A parancsnokság bosszús, mert egyetlen számot kért.</t>
        </is>
      </c>
      <c r="F10" s="11" t="inlineStr">
        <is>
          <t>Snowden–Boone: összetett helyzet</t>
        </is>
      </c>
      <c r="G10" s="11" t="inlineStr">
        <is>
          <t>Snowden és Boone összetett helyzetnek nevezi, amikor az ok-okozati összefüggések feltárhatók, de nem azonnal láthatók, és több helyes válasz is létezhet — ilyenkor szakértői mérlegelésre van szükség. A két előrejelzés éppen ilyen helyzetet teremt, és te nem tettél úgy, mintha csak egy volna. A pontos kép viszont bosszantja azokat, akik egyszerű választ vártak.</t>
        </is>
      </c>
      <c r="H10" s="12" t="n">
        <v>-1</v>
      </c>
      <c r="I10" s="12" t="n">
        <v>3</v>
      </c>
      <c r="J10" s="12" t="n">
        <v>2</v>
      </c>
      <c r="K10" s="12" t="n">
        <v>1</v>
      </c>
      <c r="L10" s="12" t="n">
        <v>0</v>
      </c>
      <c r="M10" s="13">
        <f>ROUND(3*(0.22*H10+0.22*I10+0.2*J10+0.18*K10+0.18*L10),1)</f>
        <v/>
      </c>
      <c r="N10" s="14">
        <f>IF(COUNT(H10:L10)&lt;5,"hiányzó pont",IF(OR(MIN(H10:L10)&lt;-3,MAX(H10:L10)&gt;3),"−3…+3 közé",IF(COUNTIF(H10:L10,"&gt;0")=0,"kell pozitív is",IF(COUNTIF(H10:L10,"&lt;0")=0,"kell negatív is","rendben"))))</f>
        <v/>
      </c>
    </row>
    <row r="11" ht="76" customHeight="1">
      <c r="A11" s="15" t="n"/>
      <c r="B11" s="16" t="n"/>
      <c r="C11" s="17" t="n"/>
      <c r="D11" s="15" t="inlineStr">
        <is>
          <t>B</t>
        </is>
      </c>
      <c r="E11" s="17" t="inlineStr">
        <is>
          <t>Megkéred a törzsfőnököt, hogy jöjjön ki, és a saját szemével nézze meg a helyszínt, mielőtt döntenek a számokról. Ezzel nem szerzel jó pontot a parancsnokságon.</t>
        </is>
      </c>
      <c r="F11" s="17" t="inlineStr">
        <is>
          <t>Mintzberg kapcsolattartó szerepe</t>
        </is>
      </c>
      <c r="G11" s="17" t="inlineStr">
        <is>
          <t>Mintzberg kapcsolattartó szerepében a vezető olyan emberekkel tart kapcsolatot, akik maguk is információs csomópontok. Ha a törzsfőnök látja a töltést, a számok mögött a valóságot is érti. A kérés viszont megkerüli a szolgálati utat, és lesz, aki ezt okoskodásnak tartja majd.</t>
        </is>
      </c>
      <c r="H11" s="18" t="n">
        <v>-1</v>
      </c>
      <c r="I11" s="18" t="n">
        <v>2</v>
      </c>
      <c r="J11" s="18" t="n">
        <v>2</v>
      </c>
      <c r="K11" s="18" t="n">
        <v>0</v>
      </c>
      <c r="L11" s="18" t="n">
        <v>1</v>
      </c>
      <c r="M11" s="19">
        <f>ROUND(3*(0.22*H11+0.22*I11+0.2*J11+0.18*K11+0.18*L11),1)</f>
        <v/>
      </c>
      <c r="N11" s="20">
        <f>IF(COUNT(H11:L11)&lt;5,"hiányzó pont",IF(OR(MIN(H11:L11)&lt;-3,MAX(H11:L11)&gt;3),"−3…+3 közé",IF(COUNTIF(H11:L11,"&gt;0")=0,"kell pozitív is",IF(COUNTIF(H11:L11,"&lt;0")=0,"kell negatív is","rendben"))))</f>
        <v/>
      </c>
    </row>
    <row r="12" ht="76" customHeight="1">
      <c r="A12" s="15" t="n"/>
      <c r="B12" s="16" t="n"/>
      <c r="C12" s="17" t="n"/>
      <c r="D12" s="15" t="inlineStr">
        <is>
          <t>C</t>
        </is>
      </c>
      <c r="E12" s="17" t="inlineStr">
        <is>
          <t>Az alacsonyabb számot jelented: ha a magasabbat mondod, a parancsnokság máshonnan vonhat el erőt, és a városban is nagyobb lesz a pánik.</t>
        </is>
      </c>
      <c r="F12" s="17" t="inlineStr">
        <is>
          <t>Szelektív hárítás</t>
        </is>
      </c>
      <c r="G12" s="17" t="inlineStr">
        <is>
          <t>Szelektív hárításról akkor beszélünk, amikor a kellemetlen, ijesztő információt nem engedjük be, mert zavarja azt a képet, amelyet fenn akarunk tartani. Az indokaid valósak: a pánik tényleg veszélyes. Ha viszont a magasabb szám jön be, a parancsnokság egy olyan helyzetre készült fel, amely nem létezik.</t>
        </is>
      </c>
      <c r="H12" s="18" t="n">
        <v>0</v>
      </c>
      <c r="I12" s="18" t="n">
        <v>-3</v>
      </c>
      <c r="J12" s="18" t="n">
        <v>-2</v>
      </c>
      <c r="K12" s="18" t="n">
        <v>-1</v>
      </c>
      <c r="L12" s="18" t="n">
        <v>1</v>
      </c>
      <c r="M12" s="19">
        <f>ROUND(3*(0.22*H12+0.22*I12+0.2*J12+0.18*K12+0.18*L12),1)</f>
        <v/>
      </c>
      <c r="N12" s="20">
        <f>IF(COUNT(H12:L12)&lt;5,"hiányzó pont",IF(OR(MIN(H12:L12)&lt;-3,MAX(H12:L12)&gt;3),"−3…+3 közé",IF(COUNTIF(H12:L12,"&gt;0")=0,"kell pozitív is",IF(COUNTIF(H12:L12,"&lt;0")=0,"kell negatív is","rendben"))))</f>
        <v/>
      </c>
    </row>
    <row r="13" ht="76" customHeight="1">
      <c r="A13" s="15" t="n"/>
      <c r="B13" s="16" t="n"/>
      <c r="C13" s="17" t="n"/>
      <c r="D13" s="15" t="inlineStr">
        <is>
          <t>D</t>
        </is>
      </c>
      <c r="E13" s="17" t="inlineStr">
        <is>
          <t>A magasabb számot jelented, hogy biztosan kapj még két gépet és egy századot. Ha mégsem jön be, legfeljebb túlbiztosítottátok magatokat.</t>
        </is>
      </c>
      <c r="F13" s="17" t="inlineStr">
        <is>
          <t>Mintzberg tárgyaló szerepe</t>
        </is>
      </c>
      <c r="G13" s="17" t="inlineStr">
        <is>
          <t>Mintzberg tárgyaló szerepében a vezető egyezkedéssel szerez erőforrásokat a szervezetének. A magasabb számmal jó eséllyel megkapod az erősítést, amelyre szükséged lehet. Ha viszont kiderül, hogy a jelentésedet a saját céljaidhoz igazítottad, legközelebb a pontos számaidnak sem fognak hinni.</t>
        </is>
      </c>
      <c r="H13" s="18" t="n">
        <v>0</v>
      </c>
      <c r="I13" s="18" t="n">
        <v>-2</v>
      </c>
      <c r="J13" s="18" t="n">
        <v>1</v>
      </c>
      <c r="K13" s="18" t="n">
        <v>1</v>
      </c>
      <c r="L13" s="18" t="n">
        <v>0</v>
      </c>
      <c r="M13" s="19">
        <f>ROUND(3*(0.22*H13+0.22*I13+0.2*J13+0.18*K13+0.18*L13),1)</f>
        <v/>
      </c>
      <c r="N13" s="20">
        <f>IF(COUNT(H13:L13)&lt;5,"hiányzó pont",IF(OR(MIN(H13:L13)&lt;-3,MAX(H13:L13)&gt;3),"−3…+3 közé",IF(COUNTIF(H13:L13,"&gt;0")=0,"kell pozitív is",IF(COUNTIF(H13:L13,"&lt;0")=0,"kell negatív is","rendben"))))</f>
        <v/>
      </c>
    </row>
    <row r="14" ht="90" customHeight="1">
      <c r="A14" s="9" t="n">
        <v>4</v>
      </c>
      <c r="B14" s="10" t="inlineStr">
        <is>
          <t>Egy markoló, két gátszakasz</t>
        </is>
      </c>
      <c r="C14" s="11" t="inlineStr">
        <is>
          <t>A harmadik napon két helyen is gyengülni kezd a töltés: a városi gátnál egy rövidebb, a tanyák felett egy hosszabb szakaszon. Egyetlen nagy teljesítményű markolótok van. A két szakaszparancsnok egyszerre hív a rádión, és mindketten a gépet kérik.</t>
        </is>
      </c>
      <c r="D14" s="9" t="inlineStr">
        <is>
          <t>A</t>
        </is>
      </c>
      <c r="E14" s="11" t="inlineStr">
        <is>
          <t>A város élvez elsőbbséget: előbb az emberek, aztán a termés. Ezt szabályként mondod ki, így mindkét parancsnok tudja, mihez tartsa magát.</t>
        </is>
      </c>
      <c r="F14" s="11" t="inlineStr">
        <is>
          <t>Jól és rosszul strukturált döntés</t>
        </is>
      </c>
      <c r="G14" s="11" t="inlineStr">
        <is>
          <t>Simon szerint a jól strukturált döntésnél világos, mi a probléma, a rosszul strukturáltnál viszont nem. Egy egyszerű szabállyal jól strukturálttá tetted a helyzetet, és ez gyors, kiszámítható parancsokat tesz lehetővé. A szabály azonban elfedi, hogy a tanyákon is emberek élnek, és ha ott szakad át a gát, ott sem „csak a termés” lesz veszélyben.</t>
        </is>
      </c>
      <c r="H14" s="12" t="n">
        <v>3</v>
      </c>
      <c r="I14" s="12" t="n">
        <v>2</v>
      </c>
      <c r="J14" s="12" t="n">
        <v>-1</v>
      </c>
      <c r="K14" s="12" t="n">
        <v>1</v>
      </c>
      <c r="L14" s="12" t="n">
        <v>-2</v>
      </c>
      <c r="M14" s="13">
        <f>ROUND(3*(0.22*H14+0.22*I14+0.2*J14+0.18*K14+0.18*L14),1)</f>
        <v/>
      </c>
      <c r="N14" s="14">
        <f>IF(COUNT(H14:L14)&lt;5,"hiányzó pont",IF(OR(MIN(H14:L14)&lt;-3,MAX(H14:L14)&gt;3),"−3…+3 közé",IF(COUNTIF(H14:L14,"&gt;0")=0,"kell pozitív is",IF(COUNTIF(H14:L14,"&lt;0")=0,"kell negatív is","rendben"))))</f>
        <v/>
      </c>
    </row>
    <row r="15" ht="76" customHeight="1">
      <c r="A15" s="15" t="n"/>
      <c r="B15" s="16" t="n"/>
      <c r="C15" s="17" t="n"/>
      <c r="D15" s="15" t="inlineStr">
        <is>
          <t>B</t>
        </is>
      </c>
      <c r="E15" s="17" t="inlineStr">
        <is>
          <t>A gép felváltva dolgozik a két helyen: délelőtt az egyik, délután a másik szakaszon.</t>
        </is>
      </c>
      <c r="F15" s="17" t="inlineStr">
        <is>
          <t>Inkrementalizmus (átevickélés)</t>
        </is>
      </c>
      <c r="G15" s="17" t="inlineStr">
        <is>
          <t>Az inkrementalizmus azt jelenti, hogy nagy döntések helyett kis, fokozatos lépésekben haladunk, és közben igazodunk a helyzet alakulásához. A váltott munka egyik szakaszt sem hagyja magára, és ez a legkönnyebben megtehető lépés. Csakhogy az átállás is időbe telik, és könnyen lehet, hogy estére mindkét szakasz félkész marad.</t>
        </is>
      </c>
      <c r="H15" s="18" t="n">
        <v>0</v>
      </c>
      <c r="I15" s="18" t="n">
        <v>1</v>
      </c>
      <c r="J15" s="18" t="n">
        <v>-2</v>
      </c>
      <c r="K15" s="18" t="n">
        <v>0</v>
      </c>
      <c r="L15" s="18" t="n">
        <v>2</v>
      </c>
      <c r="M15" s="19">
        <f>ROUND(3*(0.22*H15+0.22*I15+0.2*J15+0.18*K15+0.18*L15),1)</f>
        <v/>
      </c>
      <c r="N15" s="20">
        <f>IF(COUNT(H15:L15)&lt;5,"hiányzó pont",IF(OR(MIN(H15:L15)&lt;-3,MAX(H15:L15)&gt;3),"−3…+3 közé",IF(COUNTIF(H15:L15,"&gt;0")=0,"kell pozitív is",IF(COUNTIF(H15:L15,"&lt;0")=0,"kell negatív is","rendben"))))</f>
        <v/>
      </c>
    </row>
    <row r="16" ht="90" customHeight="1">
      <c r="A16" s="15" t="n"/>
      <c r="B16" s="16" t="n"/>
      <c r="C16" s="17" t="n"/>
      <c r="D16" s="15" t="inlineStr">
        <is>
          <t>C</t>
        </is>
      </c>
      <c r="E16" s="17" t="inlineStr">
        <is>
          <t>Végiggondoljátok, melyik szakasz mögött hány ház, hány ember és mennyi termés van, és mennyi idő a javítás. Először megnézitek, van-e olyan lehetőség, amelyik minden szempontból rosszabb egy másiknál. Ez húsz perc a rádió mellett.</t>
        </is>
      </c>
      <c r="F16" s="17" t="inlineStr">
        <is>
          <t>Dominancia elve</t>
        </is>
      </c>
      <c r="G16" s="17" t="inlineStr">
        <is>
          <t>A dominancia elve szerint ha egy lehetőség semmiben sem jobb egy másiknál, és legalább egy szempontból rosszabb, nyugodtan elvethetjük, mielőtt nehezebb mérlegelésbe kezdenénk. Ha az egyik szakasz minden szempontból kevésbé sürgős, a döntés magától megszületik. Ha nem, legalább tudod, min múlik a választás — de húsz percig mindkét szakasz vár.</t>
        </is>
      </c>
      <c r="H16" s="18" t="n">
        <v>-1</v>
      </c>
      <c r="I16" s="18" t="n">
        <v>2</v>
      </c>
      <c r="J16" s="18" t="n">
        <v>3</v>
      </c>
      <c r="K16" s="18" t="n">
        <v>1</v>
      </c>
      <c r="L16" s="18" t="n">
        <v>0</v>
      </c>
      <c r="M16" s="19">
        <f>ROUND(3*(0.22*H16+0.22*I16+0.2*J16+0.18*K16+0.18*L16),1)</f>
        <v/>
      </c>
      <c r="N16" s="20">
        <f>IF(COUNT(H16:L16)&lt;5,"hiányzó pont",IF(OR(MIN(H16:L16)&lt;-3,MAX(H16:L16)&gt;3),"−3…+3 közé",IF(COUNTIF(H16:L16,"&gt;0")=0,"kell pozitív is",IF(COUNTIF(H16:L16,"&lt;0")=0,"kell negatív is","rendben"))))</f>
        <v/>
      </c>
    </row>
    <row r="17" ht="76" customHeight="1">
      <c r="A17" s="15" t="n"/>
      <c r="B17" s="16" t="n"/>
      <c r="C17" s="17" t="n"/>
      <c r="D17" s="15" t="inlineStr">
        <is>
          <t>D</t>
        </is>
      </c>
      <c r="E17" s="17" t="inlineStr">
        <is>
          <t>Bérelsz egy második gépet egy helyi vállalkozótól a saját keretedből, bár erre nincs engedélyed. Utólag kell majd elszámolnod vele.</t>
        </is>
      </c>
      <c r="F17" s="17" t="inlineStr">
        <is>
          <t>Mintzberg vállalkozó szerepe</t>
        </is>
      </c>
      <c r="G17" s="17" t="inlineStr">
        <is>
          <t>Mintzberg vállalkozó szerepében a vezető maga kezdeményez változást, és maga kutatja fel a lehetőségeket. A második géppel kilépsz a „vagy-vagy” helyzetből, és mindkét szakasz megkapja, amit kér. Ennek ára a szabályszegés: ha a dandár nem fogadja el az elszámolást, a döntés a te nevedhez fűződik.</t>
        </is>
      </c>
      <c r="H17" s="18" t="n">
        <v>-2</v>
      </c>
      <c r="I17" s="18" t="n">
        <v>0</v>
      </c>
      <c r="J17" s="18" t="n">
        <v>2</v>
      </c>
      <c r="K17" s="18" t="n">
        <v>3</v>
      </c>
      <c r="L17" s="18" t="n">
        <v>1</v>
      </c>
      <c r="M17" s="19">
        <f>ROUND(3*(0.22*H17+0.22*I17+0.2*J17+0.18*K17+0.18*L17),1)</f>
        <v/>
      </c>
      <c r="N17" s="20">
        <f>IF(COUNT(H17:L17)&lt;5,"hiányzó pont",IF(OR(MIN(H17:L17)&lt;-3,MAX(H17:L17)&gt;3),"−3…+3 közé",IF(COUNTIF(H17:L17,"&gt;0")=0,"kell pozitív is",IF(COUNTIF(H17:L17,"&lt;0")=0,"kell negatív is","rendben"))))</f>
        <v/>
      </c>
    </row>
    <row r="18" ht="76" customHeight="1">
      <c r="A18" s="9" t="n">
        <v>5</v>
      </c>
      <c r="B18" s="10" t="inlineStr">
        <is>
          <t>A hamis naplóbejegyzés</t>
        </is>
      </c>
      <c r="C18" s="11" t="inlineStr">
        <is>
          <t>Az ötödik éjjel megsérül egy katona: húsz órája volt talpon, és megbotlott a markoló mellett. Takács százados ennyit írt a naplóba: baleset, műszaki hiba. A dandár reggel hatkor olvassa a jelentést. Ha kiderül, hogy a baleset oka a kimerültség volt, vizsgálat indul, és pihenőt kell elrendelni — éppen most, amikor minden kézre szükség van.</t>
        </is>
      </c>
      <c r="D18" s="9" t="inlineStr">
        <is>
          <t>A</t>
        </is>
      </c>
      <c r="E18" s="11" t="inlineStr">
        <is>
          <t>Kijavíttatod a naplót: a baleset kimerültség miatt történt. Emellett azonnal kötelező pihenőt vezetsz be, még ha így kevesebben maradnak is a gátnál.</t>
        </is>
      </c>
      <c r="F18" s="11" t="inlineStr">
        <is>
          <t>Moralitás detektor: napfény teszt</t>
        </is>
      </c>
      <c r="G18" s="11" t="inlineStr">
        <is>
          <t>A napfény teszt egyetlen kérdés: jól érezném-e magam, ha ez a döntés minden részletével együtt nyilvánosságra kerülne? Egy kimerültség miatti baleset eltussolása ezt nem állná ki, különösen, ha később valaki súlyosabban megsérül. A pontos napló és a pihenő a helyes lépés, de a gátnál most kevesebb kéz marad.</t>
        </is>
      </c>
      <c r="H18" s="12" t="n">
        <v>2</v>
      </c>
      <c r="I18" s="12" t="n">
        <v>3</v>
      </c>
      <c r="J18" s="12" t="n">
        <v>-1</v>
      </c>
      <c r="K18" s="12" t="n">
        <v>3</v>
      </c>
      <c r="L18" s="12" t="n">
        <v>0</v>
      </c>
      <c r="M18" s="13">
        <f>ROUND(3*(0.22*H18+0.22*I18+0.2*J18+0.18*K18+0.18*L18),1)</f>
        <v/>
      </c>
      <c r="N18" s="14">
        <f>IF(COUNT(H18:L18)&lt;5,"hiányzó pont",IF(OR(MIN(H18:L18)&lt;-3,MAX(H18:L18)&gt;3),"−3…+3 közé",IF(COUNTIF(H18:L18,"&gt;0")=0,"kell pozitív is",IF(COUNTIF(H18:L18,"&lt;0")=0,"kell negatív is","rendben"))))</f>
        <v/>
      </c>
    </row>
    <row r="19" ht="90" customHeight="1">
      <c r="A19" s="15" t="n"/>
      <c r="B19" s="16" t="n"/>
      <c r="C19" s="17" t="n"/>
      <c r="D19" s="15" t="inlineStr">
        <is>
          <t>B</t>
        </is>
      </c>
      <c r="E19" s="17" t="inlineStr">
        <is>
          <t>A bejegyzés marad: most minden emberre szükség van, és egy vizsgálat megbénítaná a védekezést. A kérdést a víz levonulása után rendezed.</t>
        </is>
      </c>
      <c r="F19" s="17" t="inlineStr">
        <is>
          <t>Diszkontálás</t>
        </is>
      </c>
      <c r="G19" s="17" t="inlineStr">
        <is>
          <t>A diszkontálás az a hajlamunk, hogy ami közel van, azt túlértékeljük, ami távolabb esik, azt pedig alábecsüljük. A következő két nap védekezése most mindennél fontosabbnak tűnik, a hamis bejegyzés következményei pedig távolinak. A kimerültség azonban ettől még megmarad, és nem biztos, hogy a következő baleset is ilyen enyhe lesz.</t>
        </is>
      </c>
      <c r="H19" s="18" t="n">
        <v>1</v>
      </c>
      <c r="I19" s="18" t="n">
        <v>-3</v>
      </c>
      <c r="J19" s="18" t="n">
        <v>1</v>
      </c>
      <c r="K19" s="18" t="n">
        <v>-2</v>
      </c>
      <c r="L19" s="18" t="n">
        <v>-1</v>
      </c>
      <c r="M19" s="19">
        <f>ROUND(3*(0.22*H19+0.22*I19+0.2*J19+0.18*K19+0.18*L19),1)</f>
        <v/>
      </c>
      <c r="N19" s="20">
        <f>IF(COUNT(H19:L19)&lt;5,"hiányzó pont",IF(OR(MIN(H19:L19)&lt;-3,MAX(H19:L19)&gt;3),"−3…+3 közé",IF(COUNTIF(H19:L19,"&gt;0")=0,"kell pozitív is",IF(COUNTIF(H19:L19,"&lt;0")=0,"kell negatív is","rendben"))))</f>
        <v/>
      </c>
    </row>
    <row r="20" ht="90" customHeight="1">
      <c r="A20" s="15" t="n"/>
      <c r="B20" s="16" t="n"/>
      <c r="C20" s="17" t="n"/>
      <c r="D20" s="15" t="inlineStr">
        <is>
          <t>C</t>
        </is>
      </c>
      <c r="E20" s="17" t="inlineStr">
        <is>
          <t>Megkérdezed a századparancsnokokat és néhány katonát, mit gondolnak, és velük együtt döntitek el, hogyan legyen megszervezve a pihenő, és mi kerüljön a jelentésbe.</t>
        </is>
      </c>
      <c r="F20" s="17" t="inlineStr">
        <is>
          <t>Részvételi létra</t>
        </is>
      </c>
      <c r="G20" s="17" t="inlineStr">
        <is>
          <t>A részvételi létra azt mutatja meg, mennyire valódi a bevonás: puszta tájékoztatás, meghallgatás vagy tényleges beleszólás a döntésbe. Az állomány most beleszólhat abba, ami a saját biztonságát érinti, és ezt komolyan is fogják venni. A jelentés tartalma viszont a te parancsnoki felelősséged, és azt nem lehet szavazásra bocsátani.</t>
        </is>
      </c>
      <c r="H20" s="18" t="n">
        <v>0</v>
      </c>
      <c r="I20" s="18" t="n">
        <v>2</v>
      </c>
      <c r="J20" s="18" t="n">
        <v>1</v>
      </c>
      <c r="K20" s="18" t="n">
        <v>-2</v>
      </c>
      <c r="L20" s="18" t="n">
        <v>3</v>
      </c>
      <c r="M20" s="19">
        <f>ROUND(3*(0.22*H20+0.22*I20+0.2*J20+0.18*K20+0.18*L20),1)</f>
        <v/>
      </c>
      <c r="N20" s="20">
        <f>IF(COUNT(H20:L20)&lt;5,"hiányzó pont",IF(OR(MIN(H20:L20)&lt;-3,MAX(H20:L20)&gt;3),"−3…+3 közé",IF(COUNTIF(H20:L20,"&gt;0")=0,"kell pozitív is",IF(COUNTIF(H20:L20,"&lt;0")=0,"kell negatív is","rendben"))))</f>
        <v/>
      </c>
    </row>
    <row r="21" ht="76" customHeight="1">
      <c r="A21" s="15" t="n"/>
      <c r="B21" s="16" t="n"/>
      <c r="C21" s="17" t="n"/>
      <c r="D21" s="15" t="inlineStr">
        <is>
          <t>D</t>
        </is>
      </c>
      <c r="E21" s="17" t="inlineStr">
        <is>
          <t>A bejegyzés marad, de csendben bevezetsz egy pihenőrendet. A katonák kipihentebbek lesznek, és senkinek sem esik bántódása.</t>
        </is>
      </c>
      <c r="F21" s="17" t="inlineStr">
        <is>
          <t>Gátló racionalizálás: „senkinek sem árt”</t>
        </is>
      </c>
      <c r="G21" s="17" t="inlineStr">
        <is>
          <t>A gátló racionalizálások olyan érvek, amelyekkel egy kétes lépést a saját szemünkben elfogadhatóvá teszünk. A „senkinek sem árt” logikája szerint ha nincs közvetlen károsult, a döntés rendben van. A pihenőrend valóban védi az embereket, de a hamis bejegyzés megmarad, és ha kiderül, a jó szándék már nem fog számítani.</t>
        </is>
      </c>
      <c r="H21" s="18" t="n">
        <v>-1</v>
      </c>
      <c r="I21" s="18" t="n">
        <v>-2</v>
      </c>
      <c r="J21" s="18" t="n">
        <v>2</v>
      </c>
      <c r="K21" s="18" t="n">
        <v>0</v>
      </c>
      <c r="L21" s="18" t="n">
        <v>1</v>
      </c>
      <c r="M21" s="19">
        <f>ROUND(3*(0.22*H21+0.22*I21+0.2*J21+0.18*K21+0.18*L21),1)</f>
        <v/>
      </c>
      <c r="N21" s="20">
        <f>IF(COUNT(H21:L21)&lt;5,"hiányzó pont",IF(OR(MIN(H21:L21)&lt;-3,MAX(H21:L21)&gt;3),"−3…+3 közé",IF(COUNTIF(H21:L21,"&gt;0")=0,"kell pozitív is",IF(COUNTIF(H21:L21,"&lt;0")=0,"kell negatív is","rendben"))))</f>
        <v/>
      </c>
    </row>
    <row r="22" ht="76" customHeight="1">
      <c r="A22" s="9" t="n">
        <v>6</v>
      </c>
      <c r="B22" s="10" t="inlineStr">
        <is>
          <t>Legelők elárasztása kártérítésért</t>
        </is>
      </c>
      <c r="C22" s="11" t="inlineStr">
        <is>
          <t>A hatodik napon a folyó felső szakaszán fekvő falu két vezetője ül le veled a rádióasztalhoz. Ha átengeditek a vizet a legelőikre, a városi gát megmenekülhet. Beleegyeznek — de csak akkor, ha írásban garantálod a kártérítést. Ennek megígérése nem a te hatásköröd, a minisztérium döntése pedig napokig is eltarthat.</t>
        </is>
      </c>
      <c r="D22" s="9" t="inlineStr">
        <is>
          <t>A</t>
        </is>
      </c>
      <c r="E22" s="11" t="inlineStr">
        <is>
          <t>Megígéred a kártérítést, és aláírod a papírt. A víz még ma éjjel a legelőkre mehet, a garanciát pedig majd utólag elintézed.</t>
        </is>
      </c>
      <c r="F22" s="11" t="inlineStr">
        <is>
          <t>Hamisan pozitív hiba</t>
        </is>
      </c>
      <c r="G22" s="11" t="inlineStr">
        <is>
          <t>James March hamisan pozitív hibának nevezi, amikor a döntéshozó olyan kontrollban hisz, amely a valóságban nincs a kezében. A kártérítésről nem te döntesz, mégis úgy írtad alá, mintha rajtad múlna. A város ma éjjel nagyobb biztonságban van, de ha a minisztérium nem fizet, a falu soha többé nem fog hinni egy katonai aláírásnak.</t>
        </is>
      </c>
      <c r="H22" s="12" t="n">
        <v>-2</v>
      </c>
      <c r="I22" s="12" t="n">
        <v>-1</v>
      </c>
      <c r="J22" s="12" t="n">
        <v>2</v>
      </c>
      <c r="K22" s="12" t="n">
        <v>1</v>
      </c>
      <c r="L22" s="12" t="n">
        <v>2</v>
      </c>
      <c r="M22" s="13">
        <f>ROUND(3*(0.22*H22+0.22*I22+0.2*J22+0.18*K22+0.18*L22),1)</f>
        <v/>
      </c>
      <c r="N22" s="14">
        <f>IF(COUNT(H22:L22)&lt;5,"hiányzó pont",IF(OR(MIN(H22:L22)&lt;-3,MAX(H22:L22)&gt;3),"−3…+3 közé",IF(COUNTIF(H22:L22,"&gt;0")=0,"kell pozitív is",IF(COUNTIF(H22:L22,"&lt;0")=0,"kell negatív is","rendben"))))</f>
        <v/>
      </c>
    </row>
    <row r="23" ht="76" customHeight="1">
      <c r="A23" s="15" t="n"/>
      <c r="B23" s="16" t="n"/>
      <c r="C23" s="17" t="n"/>
      <c r="D23" s="15" t="inlineStr">
        <is>
          <t>B</t>
        </is>
      </c>
      <c r="E23" s="17" t="inlineStr">
        <is>
          <t>Életveszélyre hivatkozva a falu beleegyezése nélkül elrendeled a víz átengedését. A törvény erre lehetőséget ad, de a falu bizalmát elveszíted.</t>
        </is>
      </c>
      <c r="F23" s="17" t="inlineStr">
        <is>
          <t>Autokratikus döntés</t>
        </is>
      </c>
      <c r="G23" s="17" t="inlineStr">
        <is>
          <t>Az autokratikus döntésnél a vezető egyedül dönt, az érintettek bevonása nélkül. A jegyzet szerint ez válsághelyzetben, időhiány esetén indokolt lehet, és most valóban emberéletek forognak kockán. A falu viszont nem partnere, hanem elszenvedője lett a döntésnek, és ezt a következő árvíznél is fel fogja hozni.</t>
        </is>
      </c>
      <c r="H23" s="18" t="n">
        <v>1</v>
      </c>
      <c r="I23" s="18" t="n">
        <v>0</v>
      </c>
      <c r="J23" s="18" t="n">
        <v>2</v>
      </c>
      <c r="K23" s="18" t="n">
        <v>2</v>
      </c>
      <c r="L23" s="18" t="n">
        <v>-3</v>
      </c>
      <c r="M23" s="19">
        <f>ROUND(3*(0.22*H23+0.22*I23+0.2*J23+0.18*K23+0.18*L23),1)</f>
        <v/>
      </c>
      <c r="N23" s="20">
        <f>IF(COUNT(H23:L23)&lt;5,"hiányzó pont",IF(OR(MIN(H23:L23)&lt;-3,MAX(H23:L23)&gt;3),"−3…+3 közé",IF(COUNTIF(H23:L23,"&gt;0")=0,"kell pozitív is",IF(COUNTIF(H23:L23,"&lt;0")=0,"kell negatív is","rendben"))))</f>
        <v/>
      </c>
    </row>
    <row r="24" ht="76" customHeight="1">
      <c r="A24" s="15" t="n"/>
      <c r="B24" s="16" t="n"/>
      <c r="C24" s="17" t="n"/>
      <c r="D24" s="15" t="inlineStr">
        <is>
          <t>C</t>
        </is>
      </c>
      <c r="E24" s="17" t="inlineStr">
        <is>
          <t>Nem teszel semmit, amíg meg nem érkezik a minisztérium írásos felhatalmazása. A szabályok szerint jársz el, de közben a víz tovább emelkedik.</t>
        </is>
      </c>
      <c r="F24" s="17" t="inlineStr">
        <is>
          <t>Passzív alkalmazkodás</t>
        </is>
      </c>
      <c r="G24" s="17" t="inlineStr">
        <is>
          <t>A jegyzet a döntéshozói magatartások között írja le a passzív alkalmazkodást: a vezető kevéssé hisz abban, hogy befolyásolni tudja az eseményeket, és elfogadja a meglévő szabályokat és struktúrákat. Szabályosan jársz el, ezt senki sem vetheti a szemedre. Közben viszont éppen a legjobb lehetőség csúszik ki a kezedből.</t>
        </is>
      </c>
      <c r="H24" s="18" t="n">
        <v>2</v>
      </c>
      <c r="I24" s="18" t="n">
        <v>1</v>
      </c>
      <c r="J24" s="18" t="n">
        <v>-2</v>
      </c>
      <c r="K24" s="18" t="n">
        <v>-2</v>
      </c>
      <c r="L24" s="18" t="n">
        <v>-1</v>
      </c>
      <c r="M24" s="19">
        <f>ROUND(3*(0.22*H24+0.22*I24+0.2*J24+0.18*K24+0.18*L24),1)</f>
        <v/>
      </c>
      <c r="N24" s="20">
        <f>IF(COUNT(H24:L24)&lt;5,"hiányzó pont",IF(OR(MIN(H24:L24)&lt;-3,MAX(H24:L24)&gt;3),"−3…+3 közé",IF(COUNTIF(H24:L24,"&gt;0")=0,"kell pozitív is",IF(COUNTIF(H24:L24,"&lt;0")=0,"kell negatív is","rendben"))))</f>
        <v/>
      </c>
    </row>
    <row r="25" ht="76" customHeight="1">
      <c r="A25" s="15" t="n"/>
      <c r="B25" s="16" t="n"/>
      <c r="C25" s="17" t="n"/>
      <c r="D25" s="15" t="inlineStr">
        <is>
          <t>D</t>
        </is>
      </c>
      <c r="E25" s="17" t="inlineStr">
        <is>
          <t>Őszintén elmondod, mit tudsz megígérni és mit nem, és a kérésüket azonnal továbbítod a minisztériumnak. Lehet, hogy így nemet mondanak, és elszalasztjátok a legjobb esélyt.</t>
        </is>
      </c>
      <c r="F25" s="17" t="inlineStr">
        <is>
          <t>Mintzberg szóvivő szerepe</t>
        </is>
      </c>
      <c r="G25" s="17" t="inlineStr">
        <is>
          <t>Mintzberg szóvivő szerepében a vezető pontosan elmondja a kívülállóknak, mit vállal a szervezete és mit nem. Egy őszinte „ezt nem ígérhetem meg” hitelesebb minden garanciánál, és a falu is tudja, mire számíthat. Ennek ára, hogy a megállapodás késhet, a víz pedig közben nem vár.</t>
        </is>
      </c>
      <c r="H25" s="18" t="n">
        <v>2</v>
      </c>
      <c r="I25" s="18" t="n">
        <v>3</v>
      </c>
      <c r="J25" s="18" t="n">
        <v>-1</v>
      </c>
      <c r="K25" s="18" t="n">
        <v>1</v>
      </c>
      <c r="L25" s="18" t="n">
        <v>1</v>
      </c>
      <c r="M25" s="19">
        <f>ROUND(3*(0.22*H25+0.22*I25+0.2*J25+0.18*K25+0.18*L25),1)</f>
        <v/>
      </c>
      <c r="N25" s="20">
        <f>IF(COUNT(H25:L25)&lt;5,"hiányzó pont",IF(OR(MIN(H25:L25)&lt;-3,MAX(H25:L25)&gt;3),"−3…+3 közé",IF(COUNTIF(H25:L25,"&gt;0")=0,"kell pozitív is",IF(COUNTIF(H25:L25,"&lt;0")=0,"kell negatív is","rendben"))))</f>
        <v/>
      </c>
    </row>
    <row r="26" ht="76" customHeight="1">
      <c r="A26" s="9" t="n">
        <v>7</v>
      </c>
      <c r="B26" s="10" t="inlineStr">
        <is>
          <t>Három terv, kevés idő</t>
        </is>
      </c>
      <c r="C26" s="11" t="inlineStr">
        <is>
          <t>A hetedik este új előrejelzés érkezik: hajnalra hét méter kilencven centi lesz a vízszint. Három lehetőség közül választhatsz: egész éjjel homokzsákokkal magasítjátok a városi gátat, kitelepítitek a város alsó részét, vagy mindent a folyón feljebb lévő tározóra tesztek fel. A tisztjeid mind mást javasolnak, és kevés az idő.</t>
        </is>
      </c>
      <c r="D26" s="9" t="inlineStr">
        <is>
          <t>A</t>
        </is>
      </c>
      <c r="E26" s="11" t="inlineStr">
        <is>
          <t>Elrendeled a kitelepítést: ha az emberek biztonságban vannak, a házakat még meg lehet védeni vagy újjá lehet építeni. A pánik és a fosztogatástól való félelem viszont a te lelkeden szárad.</t>
        </is>
      </c>
      <c r="F26" s="11" t="inlineStr">
        <is>
          <t>PrOACT-modell: a célok</t>
        </is>
      </c>
      <c r="G26" s="11" t="inlineStr">
        <is>
          <t>A PrOACT-modell második lépése a célok tisztázása: mit akarunk mindenképp elérni, és mit akarunk elkerülni? Te kimondtad, hogy az emberélet minden más célt megelőz, és ehhez igazítottad a döntést. Ez világos rangsor, de ára is van: elhagyott házak, dühös lakók, és egy éjszaka, amelyet a város sokáig nem felejt el.</t>
        </is>
      </c>
      <c r="H26" s="12" t="n">
        <v>1</v>
      </c>
      <c r="I26" s="12" t="n">
        <v>2</v>
      </c>
      <c r="J26" s="12" t="n">
        <v>2</v>
      </c>
      <c r="K26" s="12" t="n">
        <v>3</v>
      </c>
      <c r="L26" s="12" t="n">
        <v>-2</v>
      </c>
      <c r="M26" s="13">
        <f>ROUND(3*(0.22*H26+0.22*I26+0.2*J26+0.18*K26+0.18*L26),1)</f>
        <v/>
      </c>
      <c r="N26" s="14">
        <f>IF(COUNT(H26:L26)&lt;5,"hiányzó pont",IF(OR(MIN(H26:L26)&lt;-3,MAX(H26:L26)&gt;3),"−3…+3 közé",IF(COUNTIF(H26:L26,"&gt;0")=0,"kell pozitív is",IF(COUNTIF(H26:L26,"&lt;0")=0,"kell negatív is","rendben"))))</f>
        <v/>
      </c>
    </row>
    <row r="27" ht="90" customHeight="1">
      <c r="A27" s="15" t="n"/>
      <c r="B27" s="16" t="n"/>
      <c r="C27" s="17" t="n"/>
      <c r="D27" s="15" t="inlineStr">
        <is>
          <t>B</t>
        </is>
      </c>
      <c r="E27" s="17" t="inlineStr">
        <is>
          <t>Mindhárom tervet egyszerre indítod el, és szétosztod köztük az embereket. Így egyik lehetőségről sem mondasz le, de mindegyikre kevesebb erő jut.</t>
        </is>
      </c>
      <c r="F27" s="17" t="inlineStr">
        <is>
          <t>Mintzberg erőforrás-elosztó szerepe</t>
        </is>
      </c>
      <c r="G27" s="17" t="inlineStr">
        <is>
          <t>Mintzberg erőforrás-elosztó szerepében a vezető dönti el, hová kerülnek az emberek és az eszközök, és ezzel alapvetően meghatározza, mire képesek az egységek. Biztonságosnak tűnik mindhárom tervnek adni valamennyit, és így senki sem érzi magát mellőzöttnek. Könnyen lehet viszont, hogy hajnalra egyik terv sem kap annyi erőt, amennyi a sikerhez kellett volna.</t>
        </is>
      </c>
      <c r="H27" s="18" t="n">
        <v>0</v>
      </c>
      <c r="I27" s="18" t="n">
        <v>1</v>
      </c>
      <c r="J27" s="18" t="n">
        <v>-2</v>
      </c>
      <c r="K27" s="18" t="n">
        <v>1</v>
      </c>
      <c r="L27" s="18" t="n">
        <v>1</v>
      </c>
      <c r="M27" s="19">
        <f>ROUND(3*(0.22*H27+0.22*I27+0.2*J27+0.18*K27+0.18*L27),1)</f>
        <v/>
      </c>
      <c r="N27" s="20">
        <f>IF(COUNT(H27:L27)&lt;5,"hiányzó pont",IF(OR(MIN(H27:L27)&lt;-3,MAX(H27:L27)&gt;3),"−3…+3 közé",IF(COUNTIF(H27:L27,"&gt;0")=0,"kell pozitív is",IF(COUNTIF(H27:L27,"&lt;0")=0,"kell negatív is","rendben"))))</f>
        <v/>
      </c>
    </row>
    <row r="28" ht="76" customHeight="1">
      <c r="A28" s="15" t="n"/>
      <c r="B28" s="16" t="n"/>
      <c r="C28" s="17" t="n"/>
      <c r="D28" s="15" t="inlineStr">
        <is>
          <t>C</t>
        </is>
      </c>
      <c r="E28" s="17" t="inlineStr">
        <is>
          <t>Megkéred a tiszteket, hogy tíz percig mindenki egyedül gondolja át, mit tart jónak és miért, és csak utána beszélitek meg. Éjjel tíz perc sok idő.</t>
        </is>
      </c>
      <c r="F28" s="17" t="inlineStr">
        <is>
          <t>Névleges csoport módszer</t>
        </is>
      </c>
      <c r="G28" s="17" t="inlineStr">
        <is>
          <t>A névleges csoport módszerben a tagok először egymástól függetlenül gondolkodnak, és csak utána osztják meg az ötleteiket. Így a vita nem a rangidős vagy a leghangosabb ember érvei köré rendeződik, és a csendesebb tisztek is szóhoz jutnak. Az ára a tíz perc, ami ebben a helyzetben valódi áldozat.</t>
        </is>
      </c>
      <c r="H28" s="18" t="n">
        <v>-1</v>
      </c>
      <c r="I28" s="18" t="n">
        <v>2</v>
      </c>
      <c r="J28" s="18" t="n">
        <v>2</v>
      </c>
      <c r="K28" s="18" t="n">
        <v>0</v>
      </c>
      <c r="L28" s="18" t="n">
        <v>2</v>
      </c>
      <c r="M28" s="19">
        <f>ROUND(3*(0.22*H28+0.22*I28+0.2*J28+0.18*K28+0.18*L28),1)</f>
        <v/>
      </c>
      <c r="N28" s="20">
        <f>IF(COUNT(H28:L28)&lt;5,"hiányzó pont",IF(OR(MIN(H28:L28)&lt;-3,MAX(H28:L28)&gt;3),"−3…+3 közé",IF(COUNTIF(H28:L28,"&gt;0")=0,"kell pozitív is",IF(COUNTIF(H28:L28,"&lt;0")=0,"kell negatív is","rendben"))))</f>
        <v/>
      </c>
    </row>
    <row r="29" ht="76" customHeight="1">
      <c r="A29" s="15" t="n"/>
      <c r="B29" s="16" t="n"/>
      <c r="C29" s="17" t="n"/>
      <c r="D29" s="15" t="inlineStr">
        <is>
          <t>D</t>
        </is>
      </c>
      <c r="E29" s="17" t="inlineStr">
        <is>
          <t>A tapasztalatodra hagyatkozol: a homokzsákos magasítás eddig minden árvíznél bevált, és a katonák is ismerik.</t>
        </is>
      </c>
      <c r="F29" s="17" t="inlineStr">
        <is>
          <t>Sémák</t>
        </is>
      </c>
      <c r="G29" s="17" t="inlineStr">
        <is>
          <t>A jegyzet szerint a sémák korábbi tapasztalatokra épülő gondolkodási minták, amelyek segítenek gyorsan dönteni, de merevvé is tehetnek. A homokzsák bevált séma, és a katonák ismerik a feladatot. Csakhogy ez az árhullám minden eddiginél magasabb, és a séma éppen azt nem mutatja meg, miben más ez az éjszaka.</t>
        </is>
      </c>
      <c r="H29" s="18" t="n">
        <v>2</v>
      </c>
      <c r="I29" s="18" t="n">
        <v>0</v>
      </c>
      <c r="J29" s="18" t="n">
        <v>-2</v>
      </c>
      <c r="K29" s="18" t="n">
        <v>1</v>
      </c>
      <c r="L29" s="18" t="n">
        <v>-1</v>
      </c>
      <c r="M29" s="19">
        <f>ROUND(3*(0.22*H29+0.22*I29+0.2*J29+0.18*K29+0.18*L29),1)</f>
        <v/>
      </c>
      <c r="N29" s="20">
        <f>IF(COUNT(H29:L29)&lt;5,"hiányzó pont",IF(OR(MIN(H29:L29)&lt;-3,MAX(H29:L29)&gt;3),"−3…+3 közé",IF(COUNTIF(H29:L29,"&gt;0")=0,"kell pozitív is",IF(COUNTIF(H29:L29,"&lt;0")=0,"kell negatív is","rendben"))))</f>
        <v/>
      </c>
    </row>
    <row r="30" ht="76" customHeight="1">
      <c r="A30" s="9" t="n">
        <v>8</v>
      </c>
      <c r="B30" s="10" t="inlineStr">
        <is>
          <t>A gátőr figyelmeztetése</t>
        </is>
      </c>
      <c r="C30" s="11" t="inlineStr">
        <is>
          <t>Hajnali kettőkor Bakos Feri bácsi, a nyugdíjas gátőr kivezet a régi töltéshez. A töltés tövében tiszta víz szivárog. Varga mérnök szerint ez csak esővíz, nincs vele teendő. Az öreg azonban kitart: 1970-ben pontosan így kezdődött a gátszakadás. Emberből és homokzsákból is kevés van.</t>
        </is>
      </c>
      <c r="D30" s="9" t="inlineStr">
        <is>
          <t>A</t>
        </is>
      </c>
      <c r="E30" s="11" t="inlineStr">
        <is>
          <t>Vargára hallgatsz: ő a mérnök, az öreg csak aggódik. Megköszönöd Bakos bácsinak a figyelmességét, és hazaküldöd.</t>
        </is>
      </c>
      <c r="F30" s="11" t="inlineStr">
        <is>
          <t>Ezredes-hatás</t>
        </is>
      </c>
      <c r="G30" s="11" t="inlineStr">
        <is>
          <t>Az ezredes-hatás az a hajlamunk, hogy a magasabb beosztású vagy nagyobb tekintélyű ember szavát hitelesebbnek tartjuk. Varga szakember, és gyakran igaza van — de a beosztása önmagában nem bizonyíték. Az erőid a városi gátnál maradnak, egy lehetséges figyelmeztetésre viszont senki sem reagált.</t>
        </is>
      </c>
      <c r="H30" s="12" t="n">
        <v>2</v>
      </c>
      <c r="I30" s="12" t="n">
        <v>0</v>
      </c>
      <c r="J30" s="12" t="n">
        <v>-2</v>
      </c>
      <c r="K30" s="12" t="n">
        <v>-1</v>
      </c>
      <c r="L30" s="12" t="n">
        <v>-2</v>
      </c>
      <c r="M30" s="13">
        <f>ROUND(3*(0.22*H30+0.22*I30+0.2*J30+0.18*K30+0.18*L30),1)</f>
        <v/>
      </c>
      <c r="N30" s="14">
        <f>IF(COUNT(H30:L30)&lt;5,"hiányzó pont",IF(OR(MIN(H30:L30)&lt;-3,MAX(H30:L30)&gt;3),"−3…+3 közé",IF(COUNTIF(H30:L30,"&gt;0")=0,"kell pozitív is",IF(COUNTIF(H30:L30,"&lt;0")=0,"kell negatív is","rendben"))))</f>
        <v/>
      </c>
    </row>
    <row r="31" ht="90" customHeight="1">
      <c r="A31" s="15" t="n"/>
      <c r="B31" s="16" t="n"/>
      <c r="C31" s="17" t="n"/>
      <c r="D31" s="15" t="inlineStr">
        <is>
          <t>B</t>
        </is>
      </c>
      <c r="E31" s="17" t="inlineStr">
        <is>
          <t>Mintát vetetsz a vízből, figyelőőrt állítasz, és fél óra múlva döntesz: ha a víz zavaros lesz, azonnal mentek. Fél óra ilyenkor hosszú idő.</t>
        </is>
      </c>
      <c r="F31" s="17" t="inlineStr">
        <is>
          <t>Az információhiány kiegészítése</t>
        </is>
      </c>
      <c r="G31" s="17" t="inlineStr">
        <is>
          <t>A jegyzet szerint ha hiányzik egy információ, hajlamosak vagyunk feltevésekkel vagy szóbeszéddel kitölteni a hézagot. Te nem Vargának vagy Bakos bácsinak adtál igazat, hanem ténnyel pótoltad a hiányzó darabot: ha a szivárgó víz zavaros, akkor a töltés belseje mosódik ki. Ez a legjobb információ, amelyhez hozzájuthatsz, de fél órába telik, és addig a kockázat a tiéd.</t>
        </is>
      </c>
      <c r="H31" s="18" t="n">
        <v>1</v>
      </c>
      <c r="I31" s="18" t="n">
        <v>1</v>
      </c>
      <c r="J31" s="18" t="n">
        <v>3</v>
      </c>
      <c r="K31" s="18" t="n">
        <v>-1</v>
      </c>
      <c r="L31" s="18" t="n">
        <v>1</v>
      </c>
      <c r="M31" s="19">
        <f>ROUND(3*(0.22*H31+0.22*I31+0.2*J31+0.18*K31+0.18*L31),1)</f>
        <v/>
      </c>
      <c r="N31" s="20">
        <f>IF(COUNT(H31:L31)&lt;5,"hiányzó pont",IF(OR(MIN(H31:L31)&lt;-3,MAX(H31:L31)&gt;3),"−3…+3 közé",IF(COUNTIF(H31:L31,"&gt;0")=0,"kell pozitív is",IF(COUNTIF(H31:L31,"&lt;0")=0,"kell negatív is","rendben"))))</f>
        <v/>
      </c>
    </row>
    <row r="32" ht="90" customHeight="1">
      <c r="A32" s="15" t="n"/>
      <c r="B32" s="16" t="n"/>
      <c r="C32" s="17" t="n"/>
      <c r="D32" s="15" t="inlineStr">
        <is>
          <t>C</t>
        </is>
      </c>
      <c r="E32" s="17" t="inlineStr">
        <is>
          <t>Bakos bácsira hallgatsz: Varga ellenkezése ellenére odaküldesz egy szakaszt homokzsákokkal. Ezzel a városi gát védelme gyengül.</t>
        </is>
      </c>
      <c r="F32" s="17" t="inlineStr">
        <is>
          <t>Sztereotipizálás</t>
        </is>
      </c>
      <c r="G32" s="17" t="inlineStr">
        <is>
          <t>Sztereotipizálásról akkor beszélünk, amikor valakit aszerint ítélünk meg, milyen csoporthoz tartozik — például egy nyugdíjast „aggódó öregnek” tekintünk. Te nem estél ebbe a csapdába: Bakos bácsi ötvenévnyi tapasztalatát valódi adatként kezelted. Ennek ára, hogy felülbírálod a mérnököt, és egy erősen veszélyeztetett gáttól vonsz el embereket.</t>
        </is>
      </c>
      <c r="H32" s="18" t="n">
        <v>-1</v>
      </c>
      <c r="I32" s="18" t="n">
        <v>1</v>
      </c>
      <c r="J32" s="18" t="n">
        <v>1</v>
      </c>
      <c r="K32" s="18" t="n">
        <v>2</v>
      </c>
      <c r="L32" s="18" t="n">
        <v>2</v>
      </c>
      <c r="M32" s="19">
        <f>ROUND(3*(0.22*H32+0.22*I32+0.2*J32+0.18*K32+0.18*L32),1)</f>
        <v/>
      </c>
      <c r="N32" s="20">
        <f>IF(COUNT(H32:L32)&lt;5,"hiányzó pont",IF(OR(MIN(H32:L32)&lt;-3,MAX(H32:L32)&gt;3),"−3…+3 közé",IF(COUNTIF(H32:L32,"&gt;0")=0,"kell pozitív is",IF(COUNTIF(H32:L32,"&lt;0")=0,"kell negatív is","rendben"))))</f>
        <v/>
      </c>
    </row>
    <row r="33" ht="76" customHeight="1">
      <c r="A33" s="15" t="n"/>
      <c r="B33" s="16" t="n"/>
      <c r="C33" s="17" t="n"/>
      <c r="D33" s="15" t="inlineStr">
        <is>
          <t>D</t>
        </is>
      </c>
      <c r="E33" s="17" t="inlineStr">
        <is>
          <t>Kiküldöd Bakos bácsit és Varga mérnököt is a töltésre, hogy nézzék meg együtt, és egyezzenek meg. Te a városi gátnál maradsz.</t>
        </is>
      </c>
      <c r="F33" s="17" t="inlineStr">
        <is>
          <t>Problémakerülő magatartás</t>
        </is>
      </c>
      <c r="G33" s="17" t="inlineStr">
        <is>
          <t>A jegyzet háromféle vezetői stratégiát különít el: a problémakeresőt, a problémamegoldót és a problémakerülőt. Jó ötlet, hogy ketten együtt nézzék meg a helyszínt, és talán meg is egyeznek. A döntés súlya azonban nem az ő vállukat nyomja: ha nem jutnak dűlőre, a töltés nem vár, amíg vitatkoznak.</t>
        </is>
      </c>
      <c r="H33" s="18" t="n">
        <v>0</v>
      </c>
      <c r="I33" s="18" t="n">
        <v>1</v>
      </c>
      <c r="J33" s="18" t="n">
        <v>0</v>
      </c>
      <c r="K33" s="18" t="n">
        <v>-3</v>
      </c>
      <c r="L33" s="18" t="n">
        <v>2</v>
      </c>
      <c r="M33" s="19">
        <f>ROUND(3*(0.22*H33+0.22*I33+0.2*J33+0.18*K33+0.18*L33),1)</f>
        <v/>
      </c>
      <c r="N33" s="20">
        <f>IF(COUNT(H33:L33)&lt;5,"hiányzó pont",IF(OR(MIN(H33:L33)&lt;-3,MAX(H33:L33)&gt;3),"−3…+3 közé",IF(COUNTIF(H33:L33,"&gt;0")=0,"kell pozitív is",IF(COUNTIF(H33:L33,"&lt;0")=0,"kell negatív is","rendben"))))</f>
        <v/>
      </c>
    </row>
    <row r="34" ht="76" customHeight="1">
      <c r="A34" s="9" t="n">
        <v>9</v>
      </c>
      <c r="B34" s="10" t="inlineStr">
        <is>
          <t>A gátszakadás után</t>
        </is>
      </c>
      <c r="C34" s="11" t="inlineStr">
        <is>
          <t>Hajnali fél ötkor a régi töltés egy szakaszon átszakad. A víz a mezőkre és a város szélére ömlik: senki sem hal meg, de húsz ház víz alá kerül. Reggel az állomány sorakozik. Kimerültek és megrendültek, és már terjed a hír, hogy a parancsnokság hibázott. A városi gát még tart, a munka folytatódik.</t>
        </is>
      </c>
      <c r="D34" s="9" t="inlineStr">
        <is>
          <t>A</t>
        </is>
      </c>
      <c r="E34" s="11" t="inlineStr">
        <is>
          <t>A víz erejét hangsúlyozod: ezt senki sem akadályozhatta volna meg, mindenki a legjobbját adta. Ez megnyugtatja a katonákat.</t>
        </is>
      </c>
      <c r="F34" s="11" t="inlineStr">
        <is>
          <t>Énmegerősítő attribúció</t>
        </is>
      </c>
      <c r="G34" s="11" t="inlineStr">
        <is>
          <t>Az énmegerősítő attribúció az a hajlamunk, hogy a kudarcot a körülményeknek, a sikert pedig saját magunknak tulajdonítjuk. A megnyugtatásra most valóban szükség van, és a víz ereje tényleg óriási volt. Ha azonban a döntések szerepéről egy szó sem esik, az állomány a pletykákból tudja meg azt, amit tőled nem hallott.</t>
        </is>
      </c>
      <c r="H34" s="12" t="n">
        <v>1</v>
      </c>
      <c r="I34" s="12" t="n">
        <v>-2</v>
      </c>
      <c r="J34" s="12" t="n">
        <v>-1</v>
      </c>
      <c r="K34" s="12" t="n">
        <v>-3</v>
      </c>
      <c r="L34" s="12" t="n">
        <v>1</v>
      </c>
      <c r="M34" s="13">
        <f>ROUND(3*(0.22*H34+0.22*I34+0.2*J34+0.18*K34+0.18*L34),1)</f>
        <v/>
      </c>
      <c r="N34" s="14">
        <f>IF(COUNT(H34:L34)&lt;5,"hiányzó pont",IF(OR(MIN(H34:L34)&lt;-3,MAX(H34:L34)&gt;3),"−3…+3 közé",IF(COUNTIF(H34:L34,"&gt;0")=0,"kell pozitív is",IF(COUNTIF(H34:L34,"&lt;0")=0,"kell negatív is","rendben"))))</f>
        <v/>
      </c>
    </row>
    <row r="35" ht="76" customHeight="1">
      <c r="A35" s="15" t="n"/>
      <c r="B35" s="16" t="n"/>
      <c r="C35" s="17" t="n"/>
      <c r="D35" s="15" t="inlineStr">
        <is>
          <t>B</t>
        </is>
      </c>
      <c r="E35" s="17" t="inlineStr">
        <is>
          <t>Nem tartasz beszédet: mindenki azonnal vissza a gátra, most nincs idő magyarázkodni. A szóbeszéd közben tovább terjed.</t>
        </is>
      </c>
      <c r="F35" s="17" t="inlineStr">
        <is>
          <t>Snowden–Boone: kaotikus helyzet</t>
        </is>
      </c>
      <c r="G35" s="17" t="inlineStr">
        <is>
          <t>Snowden és Boone szerint kaotikus helyzetben nincs idő elemzésre: először cselekedni kell, hogy a helyzet stabilizálódjon, és csak utána érdemes az okokat keresni. A városi gát megtartása valóban ilyen feladat. Csakhogy a hallgatás is üzenet, és a kimerült emberek fejében a pletyka tölti ki az űrt.</t>
        </is>
      </c>
      <c r="H35" s="18" t="n">
        <v>1</v>
      </c>
      <c r="I35" s="18" t="n">
        <v>-2</v>
      </c>
      <c r="J35" s="18" t="n">
        <v>2</v>
      </c>
      <c r="K35" s="18" t="n">
        <v>0</v>
      </c>
      <c r="L35" s="18" t="n">
        <v>-1</v>
      </c>
      <c r="M35" s="19">
        <f>ROUND(3*(0.22*H35+0.22*I35+0.2*J35+0.18*K35+0.18*L35),1)</f>
        <v/>
      </c>
      <c r="N35" s="20">
        <f>IF(COUNT(H35:L35)&lt;5,"hiányzó pont",IF(OR(MIN(H35:L35)&lt;-3,MAX(H35:L35)&gt;3),"−3…+3 közé",IF(COUNTIF(H35:L35,"&gt;0")=0,"kell pozitív is",IF(COUNTIF(H35:L35,"&lt;0")=0,"kell negatív is","rendben"))))</f>
        <v/>
      </c>
    </row>
    <row r="36" ht="76" customHeight="1">
      <c r="A36" s="15" t="n"/>
      <c r="B36" s="16" t="n"/>
      <c r="C36" s="17" t="n"/>
      <c r="D36" s="15" t="inlineStr">
        <is>
          <t>C</t>
        </is>
      </c>
      <c r="E36" s="17" t="inlineStr">
        <is>
          <t>Előbb a századparancsnokoktól kérdezed meg, mit hallanak az emberektől, és csak ezután szólsz az állományhoz. Addig mindenki vár.</t>
        </is>
      </c>
      <c r="F36" s="17" t="inlineStr">
        <is>
          <t>Mintzberg információgyűjtő szerepe</t>
        </is>
      </c>
      <c r="G36" s="17" t="inlineStr">
        <is>
          <t>Mintzberg információgyűjtő szerepében a vezető a szervezeten belüli információáramlás központja. Ha tudod, mit beszélnek az emberek, pontosan azokra a kérdésekre válaszolhatsz, amelyek őket foglalkoztatják. Az ára a várakozás egy olyan reggelen, amikor minden perc a gáté.</t>
        </is>
      </c>
      <c r="H36" s="18" t="n">
        <v>-1</v>
      </c>
      <c r="I36" s="18" t="n">
        <v>1</v>
      </c>
      <c r="J36" s="18" t="n">
        <v>2</v>
      </c>
      <c r="K36" s="18" t="n">
        <v>0</v>
      </c>
      <c r="L36" s="18" t="n">
        <v>2</v>
      </c>
      <c r="M36" s="19">
        <f>ROUND(3*(0.22*H36+0.22*I36+0.2*J36+0.18*K36+0.18*L36),1)</f>
        <v/>
      </c>
      <c r="N36" s="20">
        <f>IF(COUNT(H36:L36)&lt;5,"hiányzó pont",IF(OR(MIN(H36:L36)&lt;-3,MAX(H36:L36)&gt;3),"−3…+3 közé",IF(COUNTIF(H36:L36,"&gt;0")=0,"kell pozitív is",IF(COUNTIF(H36:L36,"&lt;0")=0,"kell negatív is","rendben"))))</f>
        <v/>
      </c>
    </row>
    <row r="37" ht="90" customHeight="1">
      <c r="A37" s="15" t="n"/>
      <c r="B37" s="16" t="n"/>
      <c r="C37" s="17" t="n"/>
      <c r="D37" s="15" t="inlineStr">
        <is>
          <t>D</t>
        </is>
      </c>
      <c r="E37" s="17" t="inlineStr">
        <is>
          <t>Kiállsz eléjük, és elmondod, mi történt, mi volt ebben a te döntésed, és mi a feladat a következő huszonnégy órában.</t>
        </is>
      </c>
      <c r="F37" s="17" t="inlineStr">
        <is>
          <t>Mintzberg vezető szerepe</t>
        </is>
      </c>
      <c r="G37" s="17" t="inlineStr">
        <is>
          <t>Mintzberg vezető szerepe a vezető és a beosztottai közötti viszonyról szól, és ez az egész vezetői munkát áthatja. Ha a nehéz pillanatban is kiállsz, és vállalod a saját részedet, az állomány tudja, hogy számíthat a parancsnoka szavára. A beismerést viszont a dandárnál ellened is fordíthatják, és egy időre megingathatja a parancsnoki lánc önbizalmát.</t>
        </is>
      </c>
      <c r="H37" s="18" t="n">
        <v>-1</v>
      </c>
      <c r="I37" s="18" t="n">
        <v>3</v>
      </c>
      <c r="J37" s="18" t="n">
        <v>1</v>
      </c>
      <c r="K37" s="18" t="n">
        <v>3</v>
      </c>
      <c r="L37" s="18" t="n">
        <v>1</v>
      </c>
      <c r="M37" s="19">
        <f>ROUND(3*(0.22*H37+0.22*I37+0.2*J37+0.18*K37+0.18*L37),1)</f>
        <v/>
      </c>
      <c r="N37" s="20">
        <f>IF(COUNT(H37:L37)&lt;5,"hiányzó pont",IF(OR(MIN(H37:L37)&lt;-3,MAX(H37:L37)&gt;3),"−3…+3 közé",IF(COUNTIF(H37:L37,"&gt;0")=0,"kell pozitív is",IF(COUNTIF(H37:L37,"&lt;0")=0,"kell negatív is","rendben"))))</f>
        <v/>
      </c>
    </row>
    <row r="38" ht="76" customHeight="1">
      <c r="A38" s="9" t="n">
        <v>10</v>
      </c>
      <c r="B38" s="10" t="inlineStr">
        <is>
          <t>Jelentés a vizsgálóbizottságnak</t>
        </is>
      </c>
      <c r="C38" s="11" t="inlineStr">
        <is>
          <t>A tizenkettedik napon levonul a víz. A dandár vizsgálóbizottsága a te értékelésedet kéri: mi történt, és ki miért felel. A naplóbejegyzés, a régi töltés és a markoló körüli döntések mind szóba kerülnek. Amit leírsz, emberek pályáját döntheti el — a tiédet is.</t>
        </is>
      </c>
      <c r="D38" s="9" t="inlineStr">
        <is>
          <t>A</t>
        </is>
      </c>
      <c r="E38" s="11" t="inlineStr">
        <is>
          <t>Takács századost megnevezed a napló miatt, a saját döntéseidet viszont nem részletezed. Az ő hibája egyértelmű és bizonyítható.</t>
        </is>
      </c>
      <c r="F38" s="11" t="inlineStr">
        <is>
          <t>Alapvető attribúciós hiba</t>
        </is>
      </c>
      <c r="G38" s="11" t="inlineStr">
        <is>
          <t>Az alapvető attribúciós hiba az a hajlamunk, hogy mások hibáját a jellemükkel, a sajátunkat pedig a körülményekkel magyarázzuk. Takács hibája valódi, de ő is ugyanolyan kimerítő körülmények között dolgozott, mint mindenki más. Ha csak őt nevezed meg, a jelentés igaz lesz, mégis egyoldalú.</t>
        </is>
      </c>
      <c r="H38" s="12" t="n">
        <v>1</v>
      </c>
      <c r="I38" s="12" t="n">
        <v>-1</v>
      </c>
      <c r="J38" s="12" t="n">
        <v>-1</v>
      </c>
      <c r="K38" s="12" t="n">
        <v>-3</v>
      </c>
      <c r="L38" s="12" t="n">
        <v>-1</v>
      </c>
      <c r="M38" s="13">
        <f>ROUND(3*(0.22*H38+0.22*I38+0.2*J38+0.18*K38+0.18*L38),1)</f>
        <v/>
      </c>
      <c r="N38" s="14">
        <f>IF(COUNT(H38:L38)&lt;5,"hiányzó pont",IF(OR(MIN(H38:L38)&lt;-3,MAX(H38:L38)&gt;3),"−3…+3 közé",IF(COUNTIF(H38:L38,"&gt;0")=0,"kell pozitív is",IF(COUNTIF(H38:L38,"&lt;0")=0,"kell negatív is","rendben"))))</f>
        <v/>
      </c>
    </row>
    <row r="39" ht="90" customHeight="1">
      <c r="A39" s="15" t="n"/>
      <c r="B39" s="16" t="n"/>
      <c r="C39" s="17" t="n"/>
      <c r="D39" s="15" t="inlineStr">
        <is>
          <t>B</t>
        </is>
      </c>
      <c r="E39" s="17" t="inlineStr">
        <is>
          <t>Mindent leírsz, a saját hibáidat is, névvel és döntéssel együtt. A jelentés így hiteles, de a karriered is a tét.</t>
        </is>
      </c>
      <c r="F39" s="17" t="inlineStr">
        <is>
          <t>Reflektív gondolkodás és a következtetési létra</t>
        </is>
      </c>
      <c r="G39" s="17" t="inlineStr">
        <is>
          <t>A következtetési létra azt mutatja be, milyen gyorsan jutunk el a tényektől a feltevésekig és a döntésekig; a reflektív gondolkodás azt jelenti, hogy tudatosan visszamászunk ezen a létrán. Ha a saját feltevéseidet is végiggondolod, a jelentésből tanulság lesz, nem vádirat. Ennek ára, hogy a saját pályádat kockáztatod, és a feletteseid ezt nem mindig fogják értékelni.</t>
        </is>
      </c>
      <c r="H39" s="18" t="n">
        <v>-1</v>
      </c>
      <c r="I39" s="18" t="n">
        <v>3</v>
      </c>
      <c r="J39" s="18" t="n">
        <v>2</v>
      </c>
      <c r="K39" s="18" t="n">
        <v>3</v>
      </c>
      <c r="L39" s="18" t="n">
        <v>0</v>
      </c>
      <c r="M39" s="19">
        <f>ROUND(3*(0.22*H39+0.22*I39+0.2*J39+0.18*K39+0.18*L39),1)</f>
        <v/>
      </c>
      <c r="N39" s="20">
        <f>IF(COUNT(H39:L39)&lt;5,"hiányzó pont",IF(OR(MIN(H39:L39)&lt;-3,MAX(H39:L39)&gt;3),"−3…+3 közé",IF(COUNTIF(H39:L39,"&gt;0")=0,"kell pozitív is",IF(COUNTIF(H39:L39,"&lt;0")=0,"kell negatív is","rendben"))))</f>
        <v/>
      </c>
    </row>
    <row r="40" ht="76" customHeight="1">
      <c r="A40" s="15" t="n"/>
      <c r="B40" s="16" t="n"/>
      <c r="C40" s="17" t="n"/>
      <c r="D40" s="15" t="inlineStr">
        <is>
          <t>C</t>
        </is>
      </c>
      <c r="E40" s="17" t="inlineStr">
        <is>
          <t>A jelentést a tisztjeiddel közösen írjátok meg, és a polgármestert, a gazdákat és Bakos bácsit is meghallgatjátok. Így teljesebb lesz a kép, de a felelősség is szétoszlik.</t>
        </is>
      </c>
      <c r="F40" s="17" t="inlineStr">
        <is>
          <t>Csoportos döntéshozatal</t>
        </is>
      </c>
      <c r="G40" s="17" t="inlineStr">
        <is>
          <t>A jegyzet szerint csoportos döntésnél megoszlik a felelősség, a valóban bevont résztvevők pedig jobban elköteleződnek. A közös jelentés több nézőpontot mutat be, és a helyiek is úgy érzik, hogy számított, amit átéltek. Az ára, hogy a te parancsnoki felelősséged elmosódhat a sok hang között.</t>
        </is>
      </c>
      <c r="H40" s="18" t="n">
        <v>0</v>
      </c>
      <c r="I40" s="18" t="n">
        <v>2</v>
      </c>
      <c r="J40" s="18" t="n">
        <v>1</v>
      </c>
      <c r="K40" s="18" t="n">
        <v>-1</v>
      </c>
      <c r="L40" s="18" t="n">
        <v>3</v>
      </c>
      <c r="M40" s="19">
        <f>ROUND(3*(0.22*H40+0.22*I40+0.2*J40+0.18*K40+0.18*L40),1)</f>
        <v/>
      </c>
      <c r="N40" s="20">
        <f>IF(COUNT(H40:L40)&lt;5,"hiányzó pont",IF(OR(MIN(H40:L40)&lt;-3,MAX(H40:L40)&gt;3),"−3…+3 közé",IF(COUNTIF(H40:L40,"&gt;0")=0,"kell pozitív is",IF(COUNTIF(H40:L40,"&lt;0")=0,"kell negatív is","rendben"))))</f>
        <v/>
      </c>
    </row>
    <row r="41" ht="90" customHeight="1">
      <c r="A41" s="15" t="n"/>
      <c r="B41" s="16" t="n"/>
      <c r="C41" s="17" t="n"/>
      <c r="D41" s="15" t="inlineStr">
        <is>
          <t>D</t>
        </is>
      </c>
      <c r="E41" s="17" t="inlineStr">
        <is>
          <t>A rendszer hibáit írod le — kevés gép, pontatlan előrejelzés, egymásnak ellentmondó utasítások —, személyeket nem nevezel meg. Ez igaz is, és így senkinek sem törik meg a pályája.</t>
        </is>
      </c>
      <c r="F41" s="17" t="inlineStr">
        <is>
          <t>Hamisan negatív hiba</t>
        </is>
      </c>
      <c r="G41" s="17" t="inlineStr">
        <is>
          <t>James March hamisan negatív hibának nevezi, amikor a döntéshozó azt feltételezi, hogy nem volt befolyása az események alakulására, pedig lehetett volna. A rendszerhibák valósak, és jó, hogy leírod őket. Ha viszont csak ezeket látod, a jelentésből kimarad, hol lehetett volna másként dönteni, és a következő árvíznél ugyanezek a döntések születnek majd.</t>
        </is>
      </c>
      <c r="H41" s="18" t="n">
        <v>1</v>
      </c>
      <c r="I41" s="18" t="n">
        <v>1</v>
      </c>
      <c r="J41" s="18" t="n">
        <v>-1</v>
      </c>
      <c r="K41" s="18" t="n">
        <v>-2</v>
      </c>
      <c r="L41" s="18" t="n">
        <v>1</v>
      </c>
      <c r="M41" s="19">
        <f>ROUND(3*(0.22*H41+0.22*I41+0.2*J41+0.18*K41+0.18*L41),1)</f>
        <v/>
      </c>
      <c r="N41" s="20">
        <f>IF(COUNT(H41:L41)&lt;5,"hiányzó pont",IF(OR(MIN(H41:L41)&lt;-3,MAX(H41:L41)&gt;3),"−3…+3 közé",IF(COUNTIF(H41:L41,"&gt;0")=0,"kell pozitív is",IF(COUNTIF(H41:L41,"&lt;0")=0,"kell negatív is","rendben"))))</f>
        <v/>
      </c>
    </row>
  </sheetData>
  <autoFilter ref="A1:N41"/>
  <mergeCells count="30">
    <mergeCell ref="C14:C17"/>
    <mergeCell ref="B22:B25"/>
    <mergeCell ref="B18:B21"/>
    <mergeCell ref="C26:C29"/>
    <mergeCell ref="A30:A33"/>
    <mergeCell ref="C30:C33"/>
    <mergeCell ref="B2:B5"/>
    <mergeCell ref="C10:C13"/>
    <mergeCell ref="B14:B17"/>
    <mergeCell ref="C22:C25"/>
    <mergeCell ref="A6:A9"/>
    <mergeCell ref="B38:B41"/>
    <mergeCell ref="B10:B13"/>
    <mergeCell ref="A18:A21"/>
    <mergeCell ref="A26:A29"/>
    <mergeCell ref="A2:A5"/>
    <mergeCell ref="B34:B37"/>
    <mergeCell ref="C2:C5"/>
    <mergeCell ref="B6:B9"/>
    <mergeCell ref="B30:B33"/>
    <mergeCell ref="A14:A17"/>
    <mergeCell ref="C38:C41"/>
    <mergeCell ref="A10:A13"/>
    <mergeCell ref="A22:A25"/>
    <mergeCell ref="A38:A41"/>
    <mergeCell ref="B26:B29"/>
    <mergeCell ref="A34:A37"/>
    <mergeCell ref="C34:C37"/>
    <mergeCell ref="C6:C9"/>
    <mergeCell ref="C18:C21"/>
  </mergeCells>
  <conditionalFormatting sqref="H2:L41">
    <cfRule type="cellIs" priority="1" operator="greaterThan" dxfId="0">
      <formula>0</formula>
    </cfRule>
    <cfRule type="cellIs" priority="2" operator="lessThan" dxfId="1">
      <formula>0</formula>
    </cfRule>
  </conditionalFormatting>
  <conditionalFormatting sqref="N2:N41">
    <cfRule type="expression" priority="3" dxfId="1">
      <formula>N2&lt;&gt;"rendben"</formula>
    </cfRule>
  </conditionalFormatting>
  <dataValidations count="1">
    <dataValidation sqref="H2:L2 H3:L3 H4:L4 H5:L5 H6:L6 H7:L7 H8:L8 H9:L9 H10:L10 H11:L11 H12:L12 H13:L13 H14:L14 H15:L15 H16:L16 H17:L17 H18:L18 H19:L19 H20:L20 H21:L21 H22:L22 H23:L23 H24:L24 H25:L25 H26:L26 H27:L27 H28:L28 H29:L29 H30:L30 H31:L31 H32:L32 H33:L33 H34:L34 H35:L35 H36:L36 H37:L37 H38:L38 H39:L39 H40:L40 H41:L41" showDropDown="0" showInputMessage="0" showErrorMessage="1" allowBlank="0" errorTitle="Érvénytelen pont" error="Egész számot adj meg −3 és +3 között." type="whole" operator="between">
      <formula1>-3</formula1>
      <formula2>3</formula2>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2026-10-14T17:57:14Z</dcterms:created>
  <dcterms:modified xmlns:dcterms="http://purl.org/dc/terms/" xmlns:xsi="http://www.w3.org/2001/XMLSchema-instance" xsi:type="dcterms:W3CDTF">2026-10-14T17:57:14Z</dcterms:modified>
</cp:coreProperties>
</file>